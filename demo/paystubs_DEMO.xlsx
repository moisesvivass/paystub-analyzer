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⭐ 2026 Personal" sheetId="1" state="visible" r:id="rId1"/>
    <sheet name="📅 2025 Personal" sheetId="2" state="visible" r:id="rId2"/>
    <sheet name="📆 2024 Personal" sheetId="3" state="visible" r:id="rId3"/>
    <sheet name="🗓️ 2023 Personal" sheetId="4" state="visible" r:id="rId4"/>
    <sheet name="📊 2022 Personal" sheetId="5" state="visible" r:id="rId5"/>
    <sheet name="🏠 Dashboard" sheetId="6" state="visible" r:id="rId6"/>
    <sheet name="📋 Raw Data" sheetId="7" state="visible" r:id="rId7"/>
    <sheet name="📊 Annual Summary" sheetId="8" state="visible" r:id="rId8"/>
    <sheet name="📅 Monthly Summary" sheetId="9" state="visible" r:id="rId9"/>
    <sheet name="🏢 By Company" sheetId="10" state="visible" r:id="rId10"/>
    <sheet name="💰 Deductions" sheetId="11" state="visible" r:id="rId11"/>
    <sheet name="📖 Glossary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"/>
    <numFmt numFmtId="165" formatCode="0.0&quot;%&quot;"/>
    <numFmt numFmtId="166" formatCode="0.0%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sz val="11"/>
    </font>
    <font>
      <name val="Arial"/>
      <sz val="11"/>
    </font>
    <font>
      <name val="Arial"/>
      <b val="1"/>
      <color rgb="001E8449"/>
      <sz val="11"/>
    </font>
    <font>
      <name val="Arial"/>
      <b val="1"/>
      <color rgb="00FFFFFF"/>
      <sz val="11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FFFFFF"/>
      <sz val="13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2E75B6"/>
      </patternFill>
    </fill>
    <fill>
      <patternFill patternType="solid">
        <fgColor rgb="00F2F2F2"/>
      </patternFill>
    </fill>
    <fill>
      <patternFill patternType="solid">
        <fgColor rgb="00D5F5E3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1" pivotButton="0" quotePrefix="0" xfId="0"/>
    <xf numFmtId="0" fontId="4" fillId="3" borderId="1" pivotButton="0" quotePrefix="0" xfId="0"/>
    <xf numFmtId="0" fontId="3" fillId="4" borderId="1" pivotButton="0" quotePrefix="0" xfId="0"/>
    <xf numFmtId="164" fontId="4" fillId="4" borderId="1" pivotButton="0" quotePrefix="0" xfId="0"/>
    <xf numFmtId="164" fontId="4" fillId="3" borderId="1" pivotButton="0" quotePrefix="0" xfId="0"/>
    <xf numFmtId="165" fontId="4" fillId="4" borderId="1" pivotButton="0" quotePrefix="0" xfId="0"/>
    <xf numFmtId="0" fontId="5" fillId="2" borderId="0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164" fontId="7" fillId="6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164" fontId="7" fillId="4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164" fontId="8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9" fillId="2" borderId="0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164" fontId="7" fillId="3" borderId="1" applyAlignment="1" pivotButton="0" quotePrefix="0" xfId="0">
      <alignment horizontal="center" vertical="center"/>
    </xf>
    <xf numFmtId="166" fontId="7" fillId="6" borderId="1" applyAlignment="1" pivotButton="0" quotePrefix="0" xfId="0">
      <alignment horizontal="center" vertical="center"/>
    </xf>
    <xf numFmtId="166" fontId="7" fillId="4" borderId="1" applyAlignment="1" pivotButton="0" quotePrefix="0" xfId="0">
      <alignment horizontal="center" vertical="center"/>
    </xf>
    <xf numFmtId="0" fontId="8" fillId="6" borderId="1" applyAlignment="1" pivotButton="0" quotePrefix="0" xfId="0">
      <alignment vertical="center" wrapText="1"/>
    </xf>
    <xf numFmtId="0" fontId="7" fillId="6" borderId="1" applyAlignment="1" pivotButton="0" quotePrefix="0" xfId="0">
      <alignment vertical="center" wrapText="1"/>
    </xf>
    <xf numFmtId="0" fontId="8" fillId="4" borderId="1" applyAlignment="1" pivotButton="0" quotePrefix="0" xfId="0">
      <alignment vertical="center" wrapText="1"/>
    </xf>
    <xf numFmtId="0" fontId="7" fillId="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ySplit="15" topLeftCell="A16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16" customWidth="1" min="5" max="5"/>
    <col width="10" customWidth="1" min="6" max="6"/>
    <col width="10" customWidth="1" min="7" max="7"/>
    <col width="14" customWidth="1" min="8" max="8"/>
    <col width="14" customWidth="1" min="9" max="9"/>
  </cols>
  <sheetData>
    <row r="1" ht="40" customHeight="1">
      <c r="A1" s="1" t="inlineStr">
        <is>
          <t>⭐  2026 — PERSONAL EARNINGS SUMMARY</t>
        </is>
      </c>
    </row>
    <row r="3">
      <c r="A3" s="2" t="inlineStr">
        <is>
          <t>METRIC</t>
        </is>
      </c>
      <c r="B3" s="2" t="inlineStr">
        <is>
          <t>VALUE</t>
        </is>
      </c>
    </row>
    <row r="4">
      <c r="A4" s="3" t="inlineStr">
        <is>
          <t>Pay Periods</t>
        </is>
      </c>
      <c r="B4" s="4" t="n">
        <v>4</v>
      </c>
    </row>
    <row r="5">
      <c r="A5" s="5" t="inlineStr">
        <is>
          <t>Gross Pay</t>
        </is>
      </c>
      <c r="B5" s="6" t="n">
        <v>8200</v>
      </c>
    </row>
    <row r="6">
      <c r="A6" s="3" t="inlineStr">
        <is>
          <t>Net Pay</t>
        </is>
      </c>
      <c r="B6" s="7" t="n">
        <v>6310</v>
      </c>
    </row>
    <row r="7">
      <c r="A7" s="5" t="inlineStr">
        <is>
          <t>Income Tax</t>
        </is>
      </c>
      <c r="B7" s="6" t="n">
        <v>1558</v>
      </c>
    </row>
    <row r="8">
      <c r="A8" s="3" t="inlineStr">
        <is>
          <t>CPP</t>
        </is>
      </c>
      <c r="B8" s="7" t="n">
        <v>205.01</v>
      </c>
    </row>
    <row r="9">
      <c r="A9" s="5" t="inlineStr">
        <is>
          <t>EI</t>
        </is>
      </c>
      <c r="B9" s="6" t="n">
        <v>127.01</v>
      </c>
    </row>
    <row r="10">
      <c r="A10" s="3" t="inlineStr">
        <is>
          <t>Avg Net / Period</t>
        </is>
      </c>
      <c r="B10" s="7" t="n">
        <v>1577.5</v>
      </c>
    </row>
    <row r="11">
      <c r="A11" s="5" t="inlineStr">
        <is>
          <t>Net Rate</t>
        </is>
      </c>
      <c r="B11" s="8" t="n">
        <v>77</v>
      </c>
    </row>
    <row r="14">
      <c r="A14" s="9" t="inlineStr">
        <is>
          <t>PAYSTUB DETAIL</t>
        </is>
      </c>
    </row>
    <row r="15">
      <c r="A15" s="10" t="inlineStr">
        <is>
          <t>Pay Period End</t>
        </is>
      </c>
      <c r="B15" s="10" t="inlineStr">
        <is>
          <t>Gross Pay</t>
        </is>
      </c>
      <c r="C15" s="10" t="inlineStr">
        <is>
          <t>Net Pay</t>
        </is>
      </c>
      <c r="D15" s="10" t="inlineStr">
        <is>
          <t>Federal Tax</t>
        </is>
      </c>
      <c r="E15" s="10" t="inlineStr">
        <is>
          <t>Provincial Tax</t>
        </is>
      </c>
      <c r="F15" s="10" t="inlineStr">
        <is>
          <t>CPP</t>
        </is>
      </c>
      <c r="G15" s="10" t="inlineStr">
        <is>
          <t>EI</t>
        </is>
      </c>
      <c r="H15" s="10" t="inlineStr">
        <is>
          <t>Vacation Pay</t>
        </is>
      </c>
      <c r="I15" s="10" t="inlineStr">
        <is>
          <t>Hours Worked</t>
        </is>
      </c>
    </row>
    <row r="16">
      <c r="A16" s="11" t="inlineStr">
        <is>
          <t>2026-01-09</t>
        </is>
      </c>
      <c r="B16" s="12" t="n">
        <v>1975</v>
      </c>
      <c r="C16" s="12" t="n">
        <v>1519.75</v>
      </c>
      <c r="D16" s="12" t="n">
        <v>237</v>
      </c>
      <c r="E16" s="12" t="n">
        <v>138.25</v>
      </c>
      <c r="F16" s="12" t="n">
        <v>49.38</v>
      </c>
      <c r="G16" s="12" t="n">
        <v>30.63</v>
      </c>
      <c r="H16" s="12" t="n">
        <v>79</v>
      </c>
      <c r="I16" s="11" t="n">
        <v>96</v>
      </c>
    </row>
    <row r="17">
      <c r="A17" s="13" t="inlineStr">
        <is>
          <t>2026-02-06</t>
        </is>
      </c>
      <c r="B17" s="14" t="n">
        <v>2050</v>
      </c>
      <c r="C17" s="14" t="n">
        <v>1577.5</v>
      </c>
      <c r="D17" s="14" t="n">
        <v>246</v>
      </c>
      <c r="E17" s="14" t="n">
        <v>143.5</v>
      </c>
      <c r="F17" s="14" t="n">
        <v>51.25</v>
      </c>
      <c r="G17" s="14" t="n">
        <v>31.75</v>
      </c>
      <c r="H17" s="14" t="n">
        <v>82</v>
      </c>
      <c r="I17" s="13" t="n">
        <v>100</v>
      </c>
    </row>
    <row r="18">
      <c r="A18" s="11" t="inlineStr">
        <is>
          <t>2026-03-06</t>
        </is>
      </c>
      <c r="B18" s="12" t="n">
        <v>2050</v>
      </c>
      <c r="C18" s="12" t="n">
        <v>1577.5</v>
      </c>
      <c r="D18" s="12" t="n">
        <v>246</v>
      </c>
      <c r="E18" s="12" t="n">
        <v>143.5</v>
      </c>
      <c r="F18" s="12" t="n">
        <v>51.25</v>
      </c>
      <c r="G18" s="12" t="n">
        <v>31.75</v>
      </c>
      <c r="H18" s="12" t="n">
        <v>82</v>
      </c>
      <c r="I18" s="11" t="n">
        <v>100</v>
      </c>
    </row>
    <row r="19">
      <c r="A19" s="13" t="inlineStr">
        <is>
          <t>2026-04-10</t>
        </is>
      </c>
      <c r="B19" s="14" t="n">
        <v>2125</v>
      </c>
      <c r="C19" s="14" t="n">
        <v>1635.25</v>
      </c>
      <c r="D19" s="14" t="n">
        <v>255</v>
      </c>
      <c r="E19" s="14" t="n">
        <v>148.75</v>
      </c>
      <c r="F19" s="14" t="n">
        <v>53.13</v>
      </c>
      <c r="G19" s="14" t="n">
        <v>32.88</v>
      </c>
      <c r="H19" s="14" t="n">
        <v>85</v>
      </c>
      <c r="I19" s="13" t="n">
        <v>103.5</v>
      </c>
    </row>
    <row r="20">
      <c r="A20" s="15" t="inlineStr">
        <is>
          <t>TOTAL</t>
        </is>
      </c>
      <c r="B20" s="16">
        <f>SUM(B16:B19)</f>
        <v/>
      </c>
      <c r="C20" s="16">
        <f>SUM(C16:C19)</f>
        <v/>
      </c>
      <c r="D20" s="16">
        <f>SUM(D16:D19)</f>
        <v/>
      </c>
      <c r="E20" s="16">
        <f>SUM(E16:E19)</f>
        <v/>
      </c>
      <c r="F20" s="16">
        <f>SUM(F16:F19)</f>
        <v/>
      </c>
      <c r="G20" s="16">
        <f>SUM(G16:G19)</f>
        <v/>
      </c>
      <c r="H20" s="16">
        <f>SUM(H16:H19)</f>
        <v/>
      </c>
      <c r="I20" s="17" t="inlineStr"/>
    </row>
  </sheetData>
  <mergeCells count="2">
    <mergeCell ref="A14:I14"/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15" topLeftCell="A16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16" customWidth="1" min="5" max="5"/>
    <col width="10" customWidth="1" min="6" max="6"/>
    <col width="10" customWidth="1" min="7" max="7"/>
    <col width="14" customWidth="1" min="8" max="8"/>
    <col width="14" customWidth="1" min="9" max="9"/>
  </cols>
  <sheetData>
    <row r="1" ht="40" customHeight="1">
      <c r="A1" s="1" t="inlineStr">
        <is>
          <t>📅  2025 — PERSONAL EARNINGS SUMMARY</t>
        </is>
      </c>
    </row>
    <row r="3">
      <c r="A3" s="2" t="inlineStr">
        <is>
          <t>METRIC</t>
        </is>
      </c>
      <c r="B3" s="2" t="inlineStr">
        <is>
          <t>VALUE</t>
        </is>
      </c>
    </row>
    <row r="4">
      <c r="A4" s="3" t="inlineStr">
        <is>
          <t>Pay Periods</t>
        </is>
      </c>
      <c r="B4" s="4" t="n">
        <v>5</v>
      </c>
    </row>
    <row r="5">
      <c r="A5" s="5" t="inlineStr">
        <is>
          <t>Gross Pay</t>
        </is>
      </c>
      <c r="B5" s="6" t="n">
        <v>8750</v>
      </c>
    </row>
    <row r="6">
      <c r="A6" s="3" t="inlineStr">
        <is>
          <t>Net Pay</t>
        </is>
      </c>
      <c r="B6" s="7" t="n">
        <v>6732.5</v>
      </c>
    </row>
    <row r="7">
      <c r="A7" s="5" t="inlineStr">
        <is>
          <t>Income Tax</t>
        </is>
      </c>
      <c r="B7" s="6" t="n">
        <v>1662.5</v>
      </c>
    </row>
    <row r="8">
      <c r="A8" s="3" t="inlineStr">
        <is>
          <t>CPP</t>
        </is>
      </c>
      <c r="B8" s="7" t="n">
        <v>218.76</v>
      </c>
    </row>
    <row r="9">
      <c r="A9" s="5" t="inlineStr">
        <is>
          <t>EI</t>
        </is>
      </c>
      <c r="B9" s="6" t="n">
        <v>136.26</v>
      </c>
    </row>
    <row r="10">
      <c r="A10" s="3" t="inlineStr">
        <is>
          <t>Avg Net / Period</t>
        </is>
      </c>
      <c r="B10" s="7" t="n">
        <v>1346.5</v>
      </c>
    </row>
    <row r="11">
      <c r="A11" s="5" t="inlineStr">
        <is>
          <t>Net Rate</t>
        </is>
      </c>
      <c r="B11" s="8" t="n">
        <v>76.90000000000001</v>
      </c>
    </row>
    <row r="14">
      <c r="A14" s="9" t="inlineStr">
        <is>
          <t>PAYSTUB DETAIL</t>
        </is>
      </c>
    </row>
    <row r="15">
      <c r="A15" s="10" t="inlineStr">
        <is>
          <t>Pay Period End</t>
        </is>
      </c>
      <c r="B15" s="10" t="inlineStr">
        <is>
          <t>Gross Pay</t>
        </is>
      </c>
      <c r="C15" s="10" t="inlineStr">
        <is>
          <t>Net Pay</t>
        </is>
      </c>
      <c r="D15" s="10" t="inlineStr">
        <is>
          <t>Federal Tax</t>
        </is>
      </c>
      <c r="E15" s="10" t="inlineStr">
        <is>
          <t>Provincial Tax</t>
        </is>
      </c>
      <c r="F15" s="10" t="inlineStr">
        <is>
          <t>CPP</t>
        </is>
      </c>
      <c r="G15" s="10" t="inlineStr">
        <is>
          <t>EI</t>
        </is>
      </c>
      <c r="H15" s="10" t="inlineStr">
        <is>
          <t>Vacation Pay</t>
        </is>
      </c>
      <c r="I15" s="10" t="inlineStr">
        <is>
          <t>Hours Worked</t>
        </is>
      </c>
    </row>
    <row r="16">
      <c r="A16" s="11" t="inlineStr">
        <is>
          <t>2025-01-10</t>
        </is>
      </c>
      <c r="B16" s="12" t="n">
        <v>1600</v>
      </c>
      <c r="C16" s="12" t="n">
        <v>1231</v>
      </c>
      <c r="D16" s="12" t="n">
        <v>192</v>
      </c>
      <c r="E16" s="12" t="n">
        <v>112</v>
      </c>
      <c r="F16" s="12" t="n">
        <v>40</v>
      </c>
      <c r="G16" s="12" t="n">
        <v>25</v>
      </c>
      <c r="H16" s="12" t="n">
        <v>64</v>
      </c>
      <c r="I16" s="11" t="n">
        <v>78</v>
      </c>
    </row>
    <row r="17">
      <c r="A17" s="13" t="inlineStr">
        <is>
          <t>2025-03-07</t>
        </is>
      </c>
      <c r="B17" s="14" t="n">
        <v>1675</v>
      </c>
      <c r="C17" s="14" t="n">
        <v>1288.75</v>
      </c>
      <c r="D17" s="14" t="n">
        <v>201</v>
      </c>
      <c r="E17" s="14" t="n">
        <v>117.25</v>
      </c>
      <c r="F17" s="14" t="n">
        <v>41.88</v>
      </c>
      <c r="G17" s="14" t="n">
        <v>26.13</v>
      </c>
      <c r="H17" s="14" t="n">
        <v>67</v>
      </c>
      <c r="I17" s="13" t="n">
        <v>81.5</v>
      </c>
    </row>
    <row r="18">
      <c r="A18" s="11" t="inlineStr">
        <is>
          <t>2025-06-06</t>
        </is>
      </c>
      <c r="B18" s="12" t="n">
        <v>1750</v>
      </c>
      <c r="C18" s="12" t="n">
        <v>1346.5</v>
      </c>
      <c r="D18" s="12" t="n">
        <v>210</v>
      </c>
      <c r="E18" s="12" t="n">
        <v>122.5</v>
      </c>
      <c r="F18" s="12" t="n">
        <v>43.75</v>
      </c>
      <c r="G18" s="12" t="n">
        <v>27.25</v>
      </c>
      <c r="H18" s="12" t="n">
        <v>70</v>
      </c>
      <c r="I18" s="11" t="n">
        <v>85</v>
      </c>
    </row>
    <row r="19">
      <c r="A19" s="13" t="inlineStr">
        <is>
          <t>2025-09-05</t>
        </is>
      </c>
      <c r="B19" s="14" t="n">
        <v>1825</v>
      </c>
      <c r="C19" s="14" t="n">
        <v>1404.25</v>
      </c>
      <c r="D19" s="14" t="n">
        <v>219</v>
      </c>
      <c r="E19" s="14" t="n">
        <v>127.75</v>
      </c>
      <c r="F19" s="14" t="n">
        <v>45.63</v>
      </c>
      <c r="G19" s="14" t="n">
        <v>28.38</v>
      </c>
      <c r="H19" s="14" t="n">
        <v>73</v>
      </c>
      <c r="I19" s="13" t="n">
        <v>89</v>
      </c>
    </row>
    <row r="20">
      <c r="A20" s="11" t="inlineStr">
        <is>
          <t>2025-12-05</t>
        </is>
      </c>
      <c r="B20" s="12" t="n">
        <v>1900</v>
      </c>
      <c r="C20" s="12" t="n">
        <v>1462</v>
      </c>
      <c r="D20" s="12" t="n">
        <v>228</v>
      </c>
      <c r="E20" s="12" t="n">
        <v>133</v>
      </c>
      <c r="F20" s="12" t="n">
        <v>47.5</v>
      </c>
      <c r="G20" s="12" t="n">
        <v>29.5</v>
      </c>
      <c r="H20" s="12" t="n">
        <v>76</v>
      </c>
      <c r="I20" s="11" t="n">
        <v>92.5</v>
      </c>
    </row>
    <row r="21">
      <c r="A21" s="15" t="inlineStr">
        <is>
          <t>TOTAL</t>
        </is>
      </c>
      <c r="B21" s="16">
        <f>SUM(B16:B20)</f>
        <v/>
      </c>
      <c r="C21" s="16">
        <f>SUM(C16:C20)</f>
        <v/>
      </c>
      <c r="D21" s="16">
        <f>SUM(D16:D20)</f>
        <v/>
      </c>
      <c r="E21" s="16">
        <f>SUM(E16:E20)</f>
        <v/>
      </c>
      <c r="F21" s="16">
        <f>SUM(F16:F20)</f>
        <v/>
      </c>
      <c r="G21" s="16">
        <f>SUM(G16:G20)</f>
        <v/>
      </c>
      <c r="H21" s="16">
        <f>SUM(H16:H20)</f>
        <v/>
      </c>
      <c r="I21" s="17" t="inlineStr"/>
    </row>
  </sheetData>
  <mergeCells count="2">
    <mergeCell ref="A14:I14"/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15" topLeftCell="A16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16" customWidth="1" min="5" max="5"/>
    <col width="10" customWidth="1" min="6" max="6"/>
    <col width="10" customWidth="1" min="7" max="7"/>
    <col width="14" customWidth="1" min="8" max="8"/>
    <col width="14" customWidth="1" min="9" max="9"/>
  </cols>
  <sheetData>
    <row r="1" ht="40" customHeight="1">
      <c r="A1" s="1" t="inlineStr">
        <is>
          <t>📆  2024 — PERSONAL EARNINGS SUMMARY</t>
        </is>
      </c>
    </row>
    <row r="3">
      <c r="A3" s="2" t="inlineStr">
        <is>
          <t>METRIC</t>
        </is>
      </c>
      <c r="B3" s="2" t="inlineStr">
        <is>
          <t>VALUE</t>
        </is>
      </c>
    </row>
    <row r="4">
      <c r="A4" s="3" t="inlineStr">
        <is>
          <t>Pay Periods</t>
        </is>
      </c>
      <c r="B4" s="4" t="n">
        <v>5</v>
      </c>
    </row>
    <row r="5">
      <c r="A5" s="5" t="inlineStr">
        <is>
          <t>Gross Pay</t>
        </is>
      </c>
      <c r="B5" s="6" t="n">
        <v>6650</v>
      </c>
    </row>
    <row r="6">
      <c r="A6" s="3" t="inlineStr">
        <is>
          <t>Net Pay</t>
        </is>
      </c>
      <c r="B6" s="7" t="n">
        <v>5115.45</v>
      </c>
    </row>
    <row r="7">
      <c r="A7" s="5" t="inlineStr">
        <is>
          <t>Income Tax</t>
        </is>
      </c>
      <c r="B7" s="6" t="n">
        <v>1263.5</v>
      </c>
    </row>
    <row r="8">
      <c r="A8" s="3" t="inlineStr">
        <is>
          <t>CPP</t>
        </is>
      </c>
      <c r="B8" s="7" t="n">
        <v>166.26</v>
      </c>
    </row>
    <row r="9">
      <c r="A9" s="5" t="inlineStr">
        <is>
          <t>EI</t>
        </is>
      </c>
      <c r="B9" s="6" t="n">
        <v>104.81</v>
      </c>
    </row>
    <row r="10">
      <c r="A10" s="3" t="inlineStr">
        <is>
          <t>Avg Net / Period</t>
        </is>
      </c>
      <c r="B10" s="7" t="n">
        <v>1023.09</v>
      </c>
    </row>
    <row r="11">
      <c r="A11" s="5" t="inlineStr">
        <is>
          <t>Net Rate</t>
        </is>
      </c>
      <c r="B11" s="8" t="n">
        <v>76.90000000000001</v>
      </c>
    </row>
    <row r="14">
      <c r="A14" s="9" t="inlineStr">
        <is>
          <t>PAYSTUB DETAIL</t>
        </is>
      </c>
    </row>
    <row r="15">
      <c r="A15" s="10" t="inlineStr">
        <is>
          <t>Pay Period End</t>
        </is>
      </c>
      <c r="B15" s="10" t="inlineStr">
        <is>
          <t>Gross Pay</t>
        </is>
      </c>
      <c r="C15" s="10" t="inlineStr">
        <is>
          <t>Net Pay</t>
        </is>
      </c>
      <c r="D15" s="10" t="inlineStr">
        <is>
          <t>Federal Tax</t>
        </is>
      </c>
      <c r="E15" s="10" t="inlineStr">
        <is>
          <t>Provincial Tax</t>
        </is>
      </c>
      <c r="F15" s="10" t="inlineStr">
        <is>
          <t>CPP</t>
        </is>
      </c>
      <c r="G15" s="10" t="inlineStr">
        <is>
          <t>EI</t>
        </is>
      </c>
      <c r="H15" s="10" t="inlineStr">
        <is>
          <t>Vacation Pay</t>
        </is>
      </c>
      <c r="I15" s="10" t="inlineStr">
        <is>
          <t>Hours Worked</t>
        </is>
      </c>
    </row>
    <row r="16">
      <c r="A16" s="11" t="inlineStr">
        <is>
          <t>2024-01-12</t>
        </is>
      </c>
      <c r="B16" s="12" t="n">
        <v>1150</v>
      </c>
      <c r="C16" s="12" t="n">
        <v>884.45</v>
      </c>
      <c r="D16" s="12" t="n">
        <v>138</v>
      </c>
      <c r="E16" s="12" t="n">
        <v>80.5</v>
      </c>
      <c r="F16" s="12" t="n">
        <v>28.75</v>
      </c>
      <c r="G16" s="12" t="n">
        <v>18.3</v>
      </c>
      <c r="H16" s="12" t="n">
        <v>46</v>
      </c>
      <c r="I16" s="11" t="n">
        <v>56</v>
      </c>
    </row>
    <row r="17">
      <c r="A17" s="13" t="inlineStr">
        <is>
          <t>2024-03-08</t>
        </is>
      </c>
      <c r="B17" s="14" t="n">
        <v>1225</v>
      </c>
      <c r="C17" s="14" t="n">
        <v>942.25</v>
      </c>
      <c r="D17" s="14" t="n">
        <v>147</v>
      </c>
      <c r="E17" s="14" t="n">
        <v>85.75</v>
      </c>
      <c r="F17" s="14" t="n">
        <v>30.63</v>
      </c>
      <c r="G17" s="14" t="n">
        <v>19.38</v>
      </c>
      <c r="H17" s="14" t="n">
        <v>49</v>
      </c>
      <c r="I17" s="13" t="n">
        <v>60</v>
      </c>
    </row>
    <row r="18">
      <c r="A18" s="11" t="inlineStr">
        <is>
          <t>2024-06-07</t>
        </is>
      </c>
      <c r="B18" s="12" t="n">
        <v>1300</v>
      </c>
      <c r="C18" s="12" t="n">
        <v>1000</v>
      </c>
      <c r="D18" s="12" t="n">
        <v>156</v>
      </c>
      <c r="E18" s="12" t="n">
        <v>91</v>
      </c>
      <c r="F18" s="12" t="n">
        <v>32.5</v>
      </c>
      <c r="G18" s="12" t="n">
        <v>20.5</v>
      </c>
      <c r="H18" s="12" t="n">
        <v>52</v>
      </c>
      <c r="I18" s="11" t="n">
        <v>63.5</v>
      </c>
    </row>
    <row r="19">
      <c r="A19" s="13" t="inlineStr">
        <is>
          <t>2024-09-06</t>
        </is>
      </c>
      <c r="B19" s="14" t="n">
        <v>1450</v>
      </c>
      <c r="C19" s="14" t="n">
        <v>1115.5</v>
      </c>
      <c r="D19" s="14" t="n">
        <v>174</v>
      </c>
      <c r="E19" s="14" t="n">
        <v>101.5</v>
      </c>
      <c r="F19" s="14" t="n">
        <v>36.25</v>
      </c>
      <c r="G19" s="14" t="n">
        <v>22.75</v>
      </c>
      <c r="H19" s="14" t="n">
        <v>58</v>
      </c>
      <c r="I19" s="13" t="n">
        <v>70</v>
      </c>
    </row>
    <row r="20">
      <c r="A20" s="11" t="inlineStr">
        <is>
          <t>2024-12-06</t>
        </is>
      </c>
      <c r="B20" s="12" t="n">
        <v>1525</v>
      </c>
      <c r="C20" s="12" t="n">
        <v>1173.25</v>
      </c>
      <c r="D20" s="12" t="n">
        <v>183</v>
      </c>
      <c r="E20" s="12" t="n">
        <v>106.75</v>
      </c>
      <c r="F20" s="12" t="n">
        <v>38.13</v>
      </c>
      <c r="G20" s="12" t="n">
        <v>23.88</v>
      </c>
      <c r="H20" s="12" t="n">
        <v>61</v>
      </c>
      <c r="I20" s="11" t="n">
        <v>74.5</v>
      </c>
    </row>
    <row r="21">
      <c r="A21" s="15" t="inlineStr">
        <is>
          <t>TOTAL</t>
        </is>
      </c>
      <c r="B21" s="16">
        <f>SUM(B16:B20)</f>
        <v/>
      </c>
      <c r="C21" s="16">
        <f>SUM(C16:C20)</f>
        <v/>
      </c>
      <c r="D21" s="16">
        <f>SUM(D16:D20)</f>
        <v/>
      </c>
      <c r="E21" s="16">
        <f>SUM(E16:E20)</f>
        <v/>
      </c>
      <c r="F21" s="16">
        <f>SUM(F16:F20)</f>
        <v/>
      </c>
      <c r="G21" s="16">
        <f>SUM(G16:G20)</f>
        <v/>
      </c>
      <c r="H21" s="16">
        <f>SUM(H16:H20)</f>
        <v/>
      </c>
      <c r="I21" s="17" t="inlineStr"/>
    </row>
  </sheetData>
  <mergeCells count="2">
    <mergeCell ref="A14:I14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15" topLeftCell="A16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16" customWidth="1" min="5" max="5"/>
    <col width="10" customWidth="1" min="6" max="6"/>
    <col width="10" customWidth="1" min="7" max="7"/>
    <col width="14" customWidth="1" min="8" max="8"/>
    <col width="14" customWidth="1" min="9" max="9"/>
  </cols>
  <sheetData>
    <row r="1" ht="40" customHeight="1">
      <c r="A1" s="1" t="inlineStr">
        <is>
          <t>🗓️  2023 — PERSONAL EARNINGS SUMMARY</t>
        </is>
      </c>
    </row>
    <row r="3">
      <c r="A3" s="2" t="inlineStr">
        <is>
          <t>METRIC</t>
        </is>
      </c>
      <c r="B3" s="2" t="inlineStr">
        <is>
          <t>VALUE</t>
        </is>
      </c>
    </row>
    <row r="4">
      <c r="A4" s="3" t="inlineStr">
        <is>
          <t>Pay Periods</t>
        </is>
      </c>
      <c r="B4" s="4" t="n">
        <v>5</v>
      </c>
    </row>
    <row r="5">
      <c r="A5" s="5" t="inlineStr">
        <is>
          <t>Gross Pay</t>
        </is>
      </c>
      <c r="B5" s="6" t="n">
        <v>4898.75</v>
      </c>
    </row>
    <row r="6">
      <c r="A6" s="3" t="inlineStr">
        <is>
          <t>Net Pay</t>
        </is>
      </c>
      <c r="B6" s="7" t="n">
        <v>3769.7</v>
      </c>
    </row>
    <row r="7">
      <c r="A7" s="5" t="inlineStr">
        <is>
          <t>Income Tax</t>
        </is>
      </c>
      <c r="B7" s="6" t="n">
        <v>930.77</v>
      </c>
    </row>
    <row r="8">
      <c r="A8" s="3" t="inlineStr">
        <is>
          <t>CPP</t>
        </is>
      </c>
      <c r="B8" s="7" t="n">
        <v>122.11</v>
      </c>
    </row>
    <row r="9">
      <c r="A9" s="5" t="inlineStr">
        <is>
          <t>EI</t>
        </is>
      </c>
      <c r="B9" s="6" t="n">
        <v>74.73</v>
      </c>
    </row>
    <row r="10">
      <c r="A10" s="3" t="inlineStr">
        <is>
          <t>Avg Net / Period</t>
        </is>
      </c>
      <c r="B10" s="7" t="n">
        <v>753.9399999999999</v>
      </c>
    </row>
    <row r="11">
      <c r="A11" s="5" t="inlineStr">
        <is>
          <t>Net Rate</t>
        </is>
      </c>
      <c r="B11" s="8" t="n">
        <v>77</v>
      </c>
    </row>
    <row r="14">
      <c r="A14" s="9" t="inlineStr">
        <is>
          <t>PAYSTUB DETAIL</t>
        </is>
      </c>
    </row>
    <row r="15">
      <c r="A15" s="10" t="inlineStr">
        <is>
          <t>Pay Period End</t>
        </is>
      </c>
      <c r="B15" s="10" t="inlineStr">
        <is>
          <t>Gross Pay</t>
        </is>
      </c>
      <c r="C15" s="10" t="inlineStr">
        <is>
          <t>Net Pay</t>
        </is>
      </c>
      <c r="D15" s="10" t="inlineStr">
        <is>
          <t>Federal Tax</t>
        </is>
      </c>
      <c r="E15" s="10" t="inlineStr">
        <is>
          <t>Provincial Tax</t>
        </is>
      </c>
      <c r="F15" s="10" t="inlineStr">
        <is>
          <t>CPP</t>
        </is>
      </c>
      <c r="G15" s="10" t="inlineStr">
        <is>
          <t>EI</t>
        </is>
      </c>
      <c r="H15" s="10" t="inlineStr">
        <is>
          <t>Vacation Pay</t>
        </is>
      </c>
      <c r="I15" s="10" t="inlineStr">
        <is>
          <t>Hours Worked</t>
        </is>
      </c>
    </row>
    <row r="16">
      <c r="A16" s="11" t="inlineStr">
        <is>
          <t>2023-01-06</t>
        </is>
      </c>
      <c r="B16" s="12" t="n">
        <v>880</v>
      </c>
      <c r="C16" s="12" t="n">
        <v>677.4</v>
      </c>
      <c r="D16" s="12" t="n">
        <v>105.6</v>
      </c>
      <c r="E16" s="12" t="n">
        <v>61.6</v>
      </c>
      <c r="F16" s="12" t="n">
        <v>22</v>
      </c>
      <c r="G16" s="12" t="n">
        <v>13.4</v>
      </c>
      <c r="H16" s="12" t="n">
        <v>35.2</v>
      </c>
      <c r="I16" s="11" t="n">
        <v>43</v>
      </c>
    </row>
    <row r="17">
      <c r="A17" s="13" t="inlineStr">
        <is>
          <t>2023-03-10</t>
        </is>
      </c>
      <c r="B17" s="14" t="n">
        <v>962.5</v>
      </c>
      <c r="C17" s="14" t="n">
        <v>740.63</v>
      </c>
      <c r="D17" s="14" t="n">
        <v>115.5</v>
      </c>
      <c r="E17" s="14" t="n">
        <v>67.38</v>
      </c>
      <c r="F17" s="14" t="n">
        <v>24.06</v>
      </c>
      <c r="G17" s="14" t="n">
        <v>14.73</v>
      </c>
      <c r="H17" s="14" t="n">
        <v>38.5</v>
      </c>
      <c r="I17" s="13" t="n">
        <v>47</v>
      </c>
    </row>
    <row r="18">
      <c r="A18" s="11" t="inlineStr">
        <is>
          <t>2023-06-09</t>
        </is>
      </c>
      <c r="B18" s="12" t="n">
        <v>1025</v>
      </c>
      <c r="C18" s="12" t="n">
        <v>788.73</v>
      </c>
      <c r="D18" s="12" t="n">
        <v>123</v>
      </c>
      <c r="E18" s="12" t="n">
        <v>71.75</v>
      </c>
      <c r="F18" s="12" t="n">
        <v>25.63</v>
      </c>
      <c r="G18" s="12" t="n">
        <v>15.65</v>
      </c>
      <c r="H18" s="12" t="n">
        <v>41</v>
      </c>
      <c r="I18" s="11" t="n">
        <v>50</v>
      </c>
    </row>
    <row r="19">
      <c r="A19" s="13" t="inlineStr">
        <is>
          <t>2023-09-08</t>
        </is>
      </c>
      <c r="B19" s="14" t="n">
        <v>1087.5</v>
      </c>
      <c r="C19" s="14" t="n">
        <v>836.6900000000001</v>
      </c>
      <c r="D19" s="14" t="n">
        <v>130.5</v>
      </c>
      <c r="E19" s="14" t="n">
        <v>76.13</v>
      </c>
      <c r="F19" s="14" t="n">
        <v>27.19</v>
      </c>
      <c r="G19" s="14" t="n">
        <v>16.5</v>
      </c>
      <c r="H19" s="14" t="n">
        <v>43.5</v>
      </c>
      <c r="I19" s="13" t="n">
        <v>53</v>
      </c>
    </row>
    <row r="20">
      <c r="A20" s="11" t="inlineStr">
        <is>
          <t>2023-12-08</t>
        </is>
      </c>
      <c r="B20" s="12" t="n">
        <v>943.75</v>
      </c>
      <c r="C20" s="12" t="n">
        <v>726.25</v>
      </c>
      <c r="D20" s="12" t="n">
        <v>113.25</v>
      </c>
      <c r="E20" s="12" t="n">
        <v>66.06</v>
      </c>
      <c r="F20" s="12" t="n">
        <v>23.23</v>
      </c>
      <c r="G20" s="12" t="n">
        <v>14.45</v>
      </c>
      <c r="H20" s="12" t="n">
        <v>37.75</v>
      </c>
      <c r="I20" s="11" t="n">
        <v>46</v>
      </c>
    </row>
    <row r="21">
      <c r="A21" s="15" t="inlineStr">
        <is>
          <t>TOTAL</t>
        </is>
      </c>
      <c r="B21" s="16">
        <f>SUM(B16:B20)</f>
        <v/>
      </c>
      <c r="C21" s="16">
        <f>SUM(C16:C20)</f>
        <v/>
      </c>
      <c r="D21" s="16">
        <f>SUM(D16:D20)</f>
        <v/>
      </c>
      <c r="E21" s="16">
        <f>SUM(E16:E20)</f>
        <v/>
      </c>
      <c r="F21" s="16">
        <f>SUM(F16:F20)</f>
        <v/>
      </c>
      <c r="G21" s="16">
        <f>SUM(G16:G20)</f>
        <v/>
      </c>
      <c r="H21" s="16">
        <f>SUM(H16:H20)</f>
        <v/>
      </c>
      <c r="I21" s="17" t="inlineStr"/>
    </row>
  </sheetData>
  <mergeCells count="2">
    <mergeCell ref="A14:I14"/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pane ySplit="15" topLeftCell="A16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16" customWidth="1" min="5" max="5"/>
    <col width="10" customWidth="1" min="6" max="6"/>
    <col width="10" customWidth="1" min="7" max="7"/>
    <col width="14" customWidth="1" min="8" max="8"/>
    <col width="14" customWidth="1" min="9" max="9"/>
  </cols>
  <sheetData>
    <row r="1" ht="40" customHeight="1">
      <c r="A1" s="1" t="inlineStr">
        <is>
          <t>📊  2022 — PERSONAL EARNINGS SUMMARY</t>
        </is>
      </c>
    </row>
    <row r="3">
      <c r="A3" s="2" t="inlineStr">
        <is>
          <t>METRIC</t>
        </is>
      </c>
      <c r="B3" s="2" t="inlineStr">
        <is>
          <t>VALUE</t>
        </is>
      </c>
    </row>
    <row r="4">
      <c r="A4" s="3" t="inlineStr">
        <is>
          <t>Pay Periods</t>
        </is>
      </c>
      <c r="B4" s="4" t="n">
        <v>6</v>
      </c>
    </row>
    <row r="5">
      <c r="A5" s="5" t="inlineStr">
        <is>
          <t>Gross Pay</t>
        </is>
      </c>
      <c r="B5" s="6" t="n">
        <v>4714.25</v>
      </c>
    </row>
    <row r="6">
      <c r="A6" s="3" t="inlineStr">
        <is>
          <t>Net Pay</t>
        </is>
      </c>
      <c r="B6" s="7" t="n">
        <v>3653.79</v>
      </c>
    </row>
    <row r="7">
      <c r="A7" s="5" t="inlineStr">
        <is>
          <t>Income Tax</t>
        </is>
      </c>
      <c r="B7" s="6" t="n">
        <v>876.4400000000001</v>
      </c>
    </row>
    <row r="8">
      <c r="A8" s="3" t="inlineStr">
        <is>
          <t>CPP</t>
        </is>
      </c>
      <c r="B8" s="7" t="n">
        <v>112.65</v>
      </c>
    </row>
    <row r="9">
      <c r="A9" s="5" t="inlineStr">
        <is>
          <t>EI</t>
        </is>
      </c>
      <c r="B9" s="6" t="n">
        <v>69.86</v>
      </c>
    </row>
    <row r="10">
      <c r="A10" s="3" t="inlineStr">
        <is>
          <t>Avg Net / Period</t>
        </is>
      </c>
      <c r="B10" s="7" t="n">
        <v>608.965</v>
      </c>
    </row>
    <row r="11">
      <c r="A11" s="5" t="inlineStr">
        <is>
          <t>Net Rate</t>
        </is>
      </c>
      <c r="B11" s="8" t="n">
        <v>77.5</v>
      </c>
    </row>
    <row r="14">
      <c r="A14" s="9" t="inlineStr">
        <is>
          <t>PAYSTUB DETAIL</t>
        </is>
      </c>
    </row>
    <row r="15">
      <c r="A15" s="10" t="inlineStr">
        <is>
          <t>Pay Period End</t>
        </is>
      </c>
      <c r="B15" s="10" t="inlineStr">
        <is>
          <t>Gross Pay</t>
        </is>
      </c>
      <c r="C15" s="10" t="inlineStr">
        <is>
          <t>Net Pay</t>
        </is>
      </c>
      <c r="D15" s="10" t="inlineStr">
        <is>
          <t>Federal Tax</t>
        </is>
      </c>
      <c r="E15" s="10" t="inlineStr">
        <is>
          <t>Provincial Tax</t>
        </is>
      </c>
      <c r="F15" s="10" t="inlineStr">
        <is>
          <t>CPP</t>
        </is>
      </c>
      <c r="G15" s="10" t="inlineStr">
        <is>
          <t>EI</t>
        </is>
      </c>
      <c r="H15" s="10" t="inlineStr">
        <is>
          <t>Vacation Pay</t>
        </is>
      </c>
      <c r="I15" s="10" t="inlineStr">
        <is>
          <t>Hours Worked</t>
        </is>
      </c>
    </row>
    <row r="16">
      <c r="A16" s="11" t="inlineStr">
        <is>
          <t>2022-10-07</t>
        </is>
      </c>
      <c r="B16" s="12" t="n">
        <v>820</v>
      </c>
      <c r="C16" s="12" t="n">
        <v>631.5</v>
      </c>
      <c r="D16" s="12" t="n">
        <v>98.40000000000001</v>
      </c>
      <c r="E16" s="12" t="n">
        <v>57.4</v>
      </c>
      <c r="F16" s="12" t="n">
        <v>20.17</v>
      </c>
      <c r="G16" s="12" t="n">
        <v>12.53</v>
      </c>
      <c r="H16" s="12" t="n">
        <v>32.8</v>
      </c>
      <c r="I16" s="11" t="n">
        <v>40</v>
      </c>
    </row>
    <row r="17">
      <c r="A17" s="13" t="inlineStr">
        <is>
          <t>2022-10-14</t>
        </is>
      </c>
      <c r="B17" s="14" t="n">
        <v>902.5</v>
      </c>
      <c r="C17" s="14" t="n">
        <v>694.6</v>
      </c>
      <c r="D17" s="14" t="n">
        <v>108.3</v>
      </c>
      <c r="E17" s="14" t="n">
        <v>63.18</v>
      </c>
      <c r="F17" s="14" t="n">
        <v>22.21</v>
      </c>
      <c r="G17" s="14" t="n">
        <v>13.81</v>
      </c>
      <c r="H17" s="14" t="n">
        <v>36.1</v>
      </c>
      <c r="I17" s="13" t="n">
        <v>44</v>
      </c>
    </row>
    <row r="18">
      <c r="A18" s="11" t="inlineStr">
        <is>
          <t>2022-10-21</t>
        </is>
      </c>
      <c r="B18" s="12" t="n">
        <v>778</v>
      </c>
      <c r="C18" s="12" t="n">
        <v>598.96</v>
      </c>
      <c r="D18" s="12" t="n">
        <v>93.36</v>
      </c>
      <c r="E18" s="12" t="n">
        <v>54.46</v>
      </c>
      <c r="F18" s="12" t="n">
        <v>19.14</v>
      </c>
      <c r="G18" s="12" t="n">
        <v>11.88</v>
      </c>
      <c r="H18" s="12" t="n">
        <v>31.12</v>
      </c>
      <c r="I18" s="11" t="n">
        <v>38</v>
      </c>
    </row>
    <row r="19">
      <c r="A19" s="13" t="inlineStr">
        <is>
          <t>2022-10-28</t>
        </is>
      </c>
      <c r="B19" s="14" t="n">
        <v>943.75</v>
      </c>
      <c r="C19" s="14" t="n">
        <v>726.25</v>
      </c>
      <c r="D19" s="14" t="n">
        <v>113.25</v>
      </c>
      <c r="E19" s="14" t="n">
        <v>66.06</v>
      </c>
      <c r="F19" s="14" t="n">
        <v>23.23</v>
      </c>
      <c r="G19" s="14" t="n">
        <v>14.45</v>
      </c>
      <c r="H19" s="14" t="n">
        <v>37.75</v>
      </c>
      <c r="I19" s="13" t="n">
        <v>46</v>
      </c>
    </row>
    <row r="20">
      <c r="A20" s="11" t="inlineStr">
        <is>
          <t>2022-11-04</t>
        </is>
      </c>
      <c r="B20" s="12" t="n">
        <v>860</v>
      </c>
      <c r="C20" s="12" t="n">
        <v>661.8</v>
      </c>
      <c r="D20" s="12" t="n">
        <v>103.2</v>
      </c>
      <c r="E20" s="12" t="n">
        <v>60.2</v>
      </c>
      <c r="F20" s="12" t="n">
        <v>21.16</v>
      </c>
      <c r="G20" s="12" t="n">
        <v>13.14</v>
      </c>
      <c r="H20" s="12" t="n">
        <v>34.4</v>
      </c>
      <c r="I20" s="11" t="n">
        <v>42</v>
      </c>
    </row>
    <row r="21">
      <c r="A21" s="13" t="inlineStr">
        <is>
          <t>2022-11-11</t>
        </is>
      </c>
      <c r="B21" s="14" t="n">
        <v>410</v>
      </c>
      <c r="C21" s="14" t="n">
        <v>340.68</v>
      </c>
      <c r="D21" s="14" t="n">
        <v>36.9</v>
      </c>
      <c r="E21" s="14" t="n">
        <v>21.73</v>
      </c>
      <c r="F21" s="14" t="n">
        <v>6.74</v>
      </c>
      <c r="G21" s="14" t="n">
        <v>4.05</v>
      </c>
      <c r="H21" s="14" t="n">
        <v>16.4</v>
      </c>
      <c r="I21" s="13" t="n">
        <v>20</v>
      </c>
    </row>
    <row r="22">
      <c r="A22" s="15" t="inlineStr">
        <is>
          <t>TOTAL</t>
        </is>
      </c>
      <c r="B22" s="16">
        <f>SUM(B16:B21)</f>
        <v/>
      </c>
      <c r="C22" s="16">
        <f>SUM(C16:C21)</f>
        <v/>
      </c>
      <c r="D22" s="16">
        <f>SUM(D16:D21)</f>
        <v/>
      </c>
      <c r="E22" s="16">
        <f>SUM(E16:E21)</f>
        <v/>
      </c>
      <c r="F22" s="16">
        <f>SUM(F16:F21)</f>
        <v/>
      </c>
      <c r="G22" s="16">
        <f>SUM(G16:G21)</f>
        <v/>
      </c>
      <c r="H22" s="16">
        <f>SUM(H16:H21)</f>
        <v/>
      </c>
      <c r="I22" s="17" t="inlineStr"/>
    </row>
  </sheetData>
  <mergeCells count="2">
    <mergeCell ref="A14:I14"/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25" customWidth="1" min="1" max="1"/>
    <col width="18" customWidth="1" min="2" max="2"/>
  </cols>
  <sheetData>
    <row r="1" ht="40" customHeight="1">
      <c r="A1" s="1" t="inlineStr">
        <is>
          <t>🏠  PAYSTUB ANALYZER — EARNINGS DASHBOARD</t>
        </is>
      </c>
    </row>
    <row r="3">
      <c r="A3" s="2" t="inlineStr">
        <is>
          <t>METRIC</t>
        </is>
      </c>
      <c r="B3" s="2" t="inlineStr">
        <is>
          <t>VALUE</t>
        </is>
      </c>
    </row>
    <row r="4">
      <c r="A4" s="3" t="inlineStr">
        <is>
          <t>Total Pay Periods</t>
        </is>
      </c>
      <c r="B4" s="4" t="n">
        <v>25</v>
      </c>
    </row>
    <row r="5">
      <c r="A5" s="5" t="inlineStr">
        <is>
          <t>Total Gross Pay</t>
        </is>
      </c>
      <c r="B5" s="6" t="n">
        <v>33213</v>
      </c>
    </row>
    <row r="6">
      <c r="A6" s="3" t="inlineStr">
        <is>
          <t>Total Net Pay</t>
        </is>
      </c>
      <c r="B6" s="7" t="n">
        <v>25581.44</v>
      </c>
    </row>
    <row r="7">
      <c r="A7" s="5" t="inlineStr">
        <is>
          <t>Total Income Tax</t>
        </is>
      </c>
      <c r="B7" s="6" t="n">
        <v>6291.21</v>
      </c>
    </row>
    <row r="8">
      <c r="A8" s="3" t="inlineStr">
        <is>
          <t>Total CPP</t>
        </is>
      </c>
      <c r="B8" s="7" t="n">
        <v>824.79</v>
      </c>
    </row>
    <row r="9">
      <c r="A9" s="5" t="inlineStr">
        <is>
          <t>Total EI</t>
        </is>
      </c>
      <c r="B9" s="6" t="n">
        <v>512.67</v>
      </c>
    </row>
    <row r="10">
      <c r="A10" s="3" t="inlineStr">
        <is>
          <t>Avg Gross / Period</t>
        </is>
      </c>
      <c r="B10" s="7" t="n">
        <v>1328.52</v>
      </c>
    </row>
    <row r="11">
      <c r="A11" s="5" t="inlineStr">
        <is>
          <t>Avg Net / Period</t>
        </is>
      </c>
      <c r="B11" s="6" t="n">
        <v>1023.2576</v>
      </c>
    </row>
  </sheetData>
  <mergeCells count="1"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6" customWidth="1" min="1" max="1"/>
    <col width="18" customWidth="1" min="2" max="2"/>
    <col width="18" customWidth="1" min="3" max="3"/>
    <col width="14" customWidth="1" min="4" max="4"/>
    <col width="12" customWidth="1" min="5" max="5"/>
    <col width="14" customWidth="1" min="6" max="6"/>
    <col width="16" customWidth="1" min="7" max="7"/>
    <col width="10" customWidth="1" min="8" max="8"/>
    <col width="10" customWidth="1" min="9" max="9"/>
    <col width="14" customWidth="1" min="10" max="10"/>
    <col width="14" customWidth="1" min="11" max="11"/>
  </cols>
  <sheetData>
    <row r="1" ht="30" customHeight="1">
      <c r="A1" s="18" t="inlineStr">
        <is>
          <t>📋  RAW DATA — ALL PAY PERIODS</t>
        </is>
      </c>
    </row>
    <row r="3">
      <c r="A3" s="10" t="inlineStr">
        <is>
          <t>Company</t>
        </is>
      </c>
      <c r="B3" s="10" t="inlineStr">
        <is>
          <t>Pay Period Start</t>
        </is>
      </c>
      <c r="C3" s="10" t="inlineStr">
        <is>
          <t>Pay Period End</t>
        </is>
      </c>
      <c r="D3" s="10" t="inlineStr">
        <is>
          <t>Gross Pay</t>
        </is>
      </c>
      <c r="E3" s="10" t="inlineStr">
        <is>
          <t>Net Pay</t>
        </is>
      </c>
      <c r="F3" s="10" t="inlineStr">
        <is>
          <t>Federal Tax</t>
        </is>
      </c>
      <c r="G3" s="10" t="inlineStr">
        <is>
          <t>Provincial Tax</t>
        </is>
      </c>
      <c r="H3" s="10" t="inlineStr">
        <is>
          <t>CPP</t>
        </is>
      </c>
      <c r="I3" s="10" t="inlineStr">
        <is>
          <t>EI</t>
        </is>
      </c>
      <c r="J3" s="10" t="inlineStr">
        <is>
          <t>Vacation Pay</t>
        </is>
      </c>
      <c r="K3" s="10" t="inlineStr">
        <is>
          <t>Hours Worked</t>
        </is>
      </c>
    </row>
    <row r="4">
      <c r="A4" s="11" t="inlineStr">
        <is>
          <t>Acme Corp</t>
        </is>
      </c>
      <c r="B4" s="11" t="inlineStr">
        <is>
          <t>2022-10-03</t>
        </is>
      </c>
      <c r="C4" s="11" t="inlineStr">
        <is>
          <t>2022-10-07</t>
        </is>
      </c>
      <c r="D4" s="12" t="n">
        <v>820</v>
      </c>
      <c r="E4" s="12" t="n">
        <v>631.5</v>
      </c>
      <c r="F4" s="12" t="n">
        <v>98.40000000000001</v>
      </c>
      <c r="G4" s="12" t="n">
        <v>57.4</v>
      </c>
      <c r="H4" s="12" t="n">
        <v>20.17</v>
      </c>
      <c r="I4" s="12" t="n">
        <v>12.53</v>
      </c>
      <c r="J4" s="12" t="n">
        <v>32.8</v>
      </c>
      <c r="K4" s="11" t="n">
        <v>40</v>
      </c>
    </row>
    <row r="5">
      <c r="A5" s="13" t="inlineStr">
        <is>
          <t>Acme Corp</t>
        </is>
      </c>
      <c r="B5" s="13" t="inlineStr">
        <is>
          <t>2022-10-10</t>
        </is>
      </c>
      <c r="C5" s="13" t="inlineStr">
        <is>
          <t>2022-10-14</t>
        </is>
      </c>
      <c r="D5" s="14" t="n">
        <v>902.5</v>
      </c>
      <c r="E5" s="14" t="n">
        <v>694.6</v>
      </c>
      <c r="F5" s="14" t="n">
        <v>108.3</v>
      </c>
      <c r="G5" s="14" t="n">
        <v>63.18</v>
      </c>
      <c r="H5" s="14" t="n">
        <v>22.21</v>
      </c>
      <c r="I5" s="14" t="n">
        <v>13.81</v>
      </c>
      <c r="J5" s="14" t="n">
        <v>36.1</v>
      </c>
      <c r="K5" s="13" t="n">
        <v>44</v>
      </c>
    </row>
    <row r="6">
      <c r="A6" s="11" t="inlineStr">
        <is>
          <t>Acme Corp</t>
        </is>
      </c>
      <c r="B6" s="11" t="inlineStr">
        <is>
          <t>2022-10-17</t>
        </is>
      </c>
      <c r="C6" s="11" t="inlineStr">
        <is>
          <t>2022-10-21</t>
        </is>
      </c>
      <c r="D6" s="12" t="n">
        <v>778</v>
      </c>
      <c r="E6" s="12" t="n">
        <v>598.96</v>
      </c>
      <c r="F6" s="12" t="n">
        <v>93.36</v>
      </c>
      <c r="G6" s="12" t="n">
        <v>54.46</v>
      </c>
      <c r="H6" s="12" t="n">
        <v>19.14</v>
      </c>
      <c r="I6" s="12" t="n">
        <v>11.88</v>
      </c>
      <c r="J6" s="12" t="n">
        <v>31.12</v>
      </c>
      <c r="K6" s="11" t="n">
        <v>38</v>
      </c>
    </row>
    <row r="7">
      <c r="A7" s="13" t="inlineStr">
        <is>
          <t>Acme Corp</t>
        </is>
      </c>
      <c r="B7" s="13" t="inlineStr">
        <is>
          <t>2022-10-24</t>
        </is>
      </c>
      <c r="C7" s="13" t="inlineStr">
        <is>
          <t>2022-10-28</t>
        </is>
      </c>
      <c r="D7" s="14" t="n">
        <v>943.75</v>
      </c>
      <c r="E7" s="14" t="n">
        <v>726.25</v>
      </c>
      <c r="F7" s="14" t="n">
        <v>113.25</v>
      </c>
      <c r="G7" s="14" t="n">
        <v>66.06</v>
      </c>
      <c r="H7" s="14" t="n">
        <v>23.23</v>
      </c>
      <c r="I7" s="14" t="n">
        <v>14.45</v>
      </c>
      <c r="J7" s="14" t="n">
        <v>37.75</v>
      </c>
      <c r="K7" s="13" t="n">
        <v>46</v>
      </c>
    </row>
    <row r="8">
      <c r="A8" s="11" t="inlineStr">
        <is>
          <t>Acme Corp</t>
        </is>
      </c>
      <c r="B8" s="11" t="inlineStr">
        <is>
          <t>2022-10-31</t>
        </is>
      </c>
      <c r="C8" s="11" t="inlineStr">
        <is>
          <t>2022-11-04</t>
        </is>
      </c>
      <c r="D8" s="12" t="n">
        <v>860</v>
      </c>
      <c r="E8" s="12" t="n">
        <v>661.8</v>
      </c>
      <c r="F8" s="12" t="n">
        <v>103.2</v>
      </c>
      <c r="G8" s="12" t="n">
        <v>60.2</v>
      </c>
      <c r="H8" s="12" t="n">
        <v>21.16</v>
      </c>
      <c r="I8" s="12" t="n">
        <v>13.14</v>
      </c>
      <c r="J8" s="12" t="n">
        <v>34.4</v>
      </c>
      <c r="K8" s="11" t="n">
        <v>42</v>
      </c>
    </row>
    <row r="9">
      <c r="A9" s="13" t="inlineStr">
        <is>
          <t>Acme Corp</t>
        </is>
      </c>
      <c r="B9" s="13" t="inlineStr">
        <is>
          <t>2022-11-07</t>
        </is>
      </c>
      <c r="C9" s="13" t="inlineStr">
        <is>
          <t>2022-11-11</t>
        </is>
      </c>
      <c r="D9" s="14" t="n">
        <v>410</v>
      </c>
      <c r="E9" s="14" t="n">
        <v>340.68</v>
      </c>
      <c r="F9" s="14" t="n">
        <v>36.9</v>
      </c>
      <c r="G9" s="14" t="n">
        <v>21.73</v>
      </c>
      <c r="H9" s="14" t="n">
        <v>6.74</v>
      </c>
      <c r="I9" s="14" t="n">
        <v>4.05</v>
      </c>
      <c r="J9" s="14" t="n">
        <v>16.4</v>
      </c>
      <c r="K9" s="13" t="n">
        <v>20</v>
      </c>
    </row>
    <row r="10">
      <c r="A10" s="11" t="inlineStr">
        <is>
          <t>Acme Corp</t>
        </is>
      </c>
      <c r="B10" s="11" t="inlineStr">
        <is>
          <t>2023-01-02</t>
        </is>
      </c>
      <c r="C10" s="11" t="inlineStr">
        <is>
          <t>2023-01-06</t>
        </is>
      </c>
      <c r="D10" s="12" t="n">
        <v>880</v>
      </c>
      <c r="E10" s="12" t="n">
        <v>677.4</v>
      </c>
      <c r="F10" s="12" t="n">
        <v>105.6</v>
      </c>
      <c r="G10" s="12" t="n">
        <v>61.6</v>
      </c>
      <c r="H10" s="12" t="n">
        <v>22</v>
      </c>
      <c r="I10" s="12" t="n">
        <v>13.4</v>
      </c>
      <c r="J10" s="12" t="n">
        <v>35.2</v>
      </c>
      <c r="K10" s="11" t="n">
        <v>43</v>
      </c>
    </row>
    <row r="11">
      <c r="A11" s="13" t="inlineStr">
        <is>
          <t>Acme Corp</t>
        </is>
      </c>
      <c r="B11" s="13" t="inlineStr">
        <is>
          <t>2023-03-06</t>
        </is>
      </c>
      <c r="C11" s="13" t="inlineStr">
        <is>
          <t>2023-03-10</t>
        </is>
      </c>
      <c r="D11" s="14" t="n">
        <v>962.5</v>
      </c>
      <c r="E11" s="14" t="n">
        <v>740.63</v>
      </c>
      <c r="F11" s="14" t="n">
        <v>115.5</v>
      </c>
      <c r="G11" s="14" t="n">
        <v>67.38</v>
      </c>
      <c r="H11" s="14" t="n">
        <v>24.06</v>
      </c>
      <c r="I11" s="14" t="n">
        <v>14.73</v>
      </c>
      <c r="J11" s="14" t="n">
        <v>38.5</v>
      </c>
      <c r="K11" s="13" t="n">
        <v>47</v>
      </c>
    </row>
    <row r="12">
      <c r="A12" s="11" t="inlineStr">
        <is>
          <t>Acme Corp</t>
        </is>
      </c>
      <c r="B12" s="11" t="inlineStr">
        <is>
          <t>2023-06-05</t>
        </is>
      </c>
      <c r="C12" s="11" t="inlineStr">
        <is>
          <t>2023-06-09</t>
        </is>
      </c>
      <c r="D12" s="12" t="n">
        <v>1025</v>
      </c>
      <c r="E12" s="12" t="n">
        <v>788.73</v>
      </c>
      <c r="F12" s="12" t="n">
        <v>123</v>
      </c>
      <c r="G12" s="12" t="n">
        <v>71.75</v>
      </c>
      <c r="H12" s="12" t="n">
        <v>25.63</v>
      </c>
      <c r="I12" s="12" t="n">
        <v>15.65</v>
      </c>
      <c r="J12" s="12" t="n">
        <v>41</v>
      </c>
      <c r="K12" s="11" t="n">
        <v>50</v>
      </c>
    </row>
    <row r="13">
      <c r="A13" s="13" t="inlineStr">
        <is>
          <t>Acme Corp</t>
        </is>
      </c>
      <c r="B13" s="13" t="inlineStr">
        <is>
          <t>2023-09-04</t>
        </is>
      </c>
      <c r="C13" s="13" t="inlineStr">
        <is>
          <t>2023-09-08</t>
        </is>
      </c>
      <c r="D13" s="14" t="n">
        <v>1087.5</v>
      </c>
      <c r="E13" s="14" t="n">
        <v>836.6900000000001</v>
      </c>
      <c r="F13" s="14" t="n">
        <v>130.5</v>
      </c>
      <c r="G13" s="14" t="n">
        <v>76.13</v>
      </c>
      <c r="H13" s="14" t="n">
        <v>27.19</v>
      </c>
      <c r="I13" s="14" t="n">
        <v>16.5</v>
      </c>
      <c r="J13" s="14" t="n">
        <v>43.5</v>
      </c>
      <c r="K13" s="13" t="n">
        <v>53</v>
      </c>
    </row>
    <row r="14">
      <c r="A14" s="11" t="inlineStr">
        <is>
          <t>Acme Corp</t>
        </is>
      </c>
      <c r="B14" s="11" t="inlineStr">
        <is>
          <t>2023-12-04</t>
        </is>
      </c>
      <c r="C14" s="11" t="inlineStr">
        <is>
          <t>2023-12-08</t>
        </is>
      </c>
      <c r="D14" s="12" t="n">
        <v>943.75</v>
      </c>
      <c r="E14" s="12" t="n">
        <v>726.25</v>
      </c>
      <c r="F14" s="12" t="n">
        <v>113.25</v>
      </c>
      <c r="G14" s="12" t="n">
        <v>66.06</v>
      </c>
      <c r="H14" s="12" t="n">
        <v>23.23</v>
      </c>
      <c r="I14" s="12" t="n">
        <v>14.45</v>
      </c>
      <c r="J14" s="12" t="n">
        <v>37.75</v>
      </c>
      <c r="K14" s="11" t="n">
        <v>46</v>
      </c>
    </row>
    <row r="15">
      <c r="A15" s="13" t="inlineStr">
        <is>
          <t>Acme Corp</t>
        </is>
      </c>
      <c r="B15" s="13" t="inlineStr">
        <is>
          <t>2024-01-08</t>
        </is>
      </c>
      <c r="C15" s="13" t="inlineStr">
        <is>
          <t>2024-01-12</t>
        </is>
      </c>
      <c r="D15" s="14" t="n">
        <v>1150</v>
      </c>
      <c r="E15" s="14" t="n">
        <v>884.45</v>
      </c>
      <c r="F15" s="14" t="n">
        <v>138</v>
      </c>
      <c r="G15" s="14" t="n">
        <v>80.5</v>
      </c>
      <c r="H15" s="14" t="n">
        <v>28.75</v>
      </c>
      <c r="I15" s="14" t="n">
        <v>18.3</v>
      </c>
      <c r="J15" s="14" t="n">
        <v>46</v>
      </c>
      <c r="K15" s="13" t="n">
        <v>56</v>
      </c>
    </row>
    <row r="16">
      <c r="A16" s="11" t="inlineStr">
        <is>
          <t>Acme Corp</t>
        </is>
      </c>
      <c r="B16" s="11" t="inlineStr">
        <is>
          <t>2024-03-04</t>
        </is>
      </c>
      <c r="C16" s="11" t="inlineStr">
        <is>
          <t>2024-03-08</t>
        </is>
      </c>
      <c r="D16" s="12" t="n">
        <v>1225</v>
      </c>
      <c r="E16" s="12" t="n">
        <v>942.25</v>
      </c>
      <c r="F16" s="12" t="n">
        <v>147</v>
      </c>
      <c r="G16" s="12" t="n">
        <v>85.75</v>
      </c>
      <c r="H16" s="12" t="n">
        <v>30.63</v>
      </c>
      <c r="I16" s="12" t="n">
        <v>19.38</v>
      </c>
      <c r="J16" s="12" t="n">
        <v>49</v>
      </c>
      <c r="K16" s="11" t="n">
        <v>60</v>
      </c>
    </row>
    <row r="17">
      <c r="A17" s="13" t="inlineStr">
        <is>
          <t>Acme Corp</t>
        </is>
      </c>
      <c r="B17" s="13" t="inlineStr">
        <is>
          <t>2024-06-03</t>
        </is>
      </c>
      <c r="C17" s="13" t="inlineStr">
        <is>
          <t>2024-06-07</t>
        </is>
      </c>
      <c r="D17" s="14" t="n">
        <v>1300</v>
      </c>
      <c r="E17" s="14" t="n">
        <v>1000</v>
      </c>
      <c r="F17" s="14" t="n">
        <v>156</v>
      </c>
      <c r="G17" s="14" t="n">
        <v>91</v>
      </c>
      <c r="H17" s="14" t="n">
        <v>32.5</v>
      </c>
      <c r="I17" s="14" t="n">
        <v>20.5</v>
      </c>
      <c r="J17" s="14" t="n">
        <v>52</v>
      </c>
      <c r="K17" s="13" t="n">
        <v>63.5</v>
      </c>
    </row>
    <row r="18">
      <c r="A18" s="11" t="inlineStr">
        <is>
          <t>Beta Solutions</t>
        </is>
      </c>
      <c r="B18" s="11" t="inlineStr">
        <is>
          <t>2024-09-02</t>
        </is>
      </c>
      <c r="C18" s="11" t="inlineStr">
        <is>
          <t>2024-09-06</t>
        </is>
      </c>
      <c r="D18" s="12" t="n">
        <v>1450</v>
      </c>
      <c r="E18" s="12" t="n">
        <v>1115.5</v>
      </c>
      <c r="F18" s="12" t="n">
        <v>174</v>
      </c>
      <c r="G18" s="12" t="n">
        <v>101.5</v>
      </c>
      <c r="H18" s="12" t="n">
        <v>36.25</v>
      </c>
      <c r="I18" s="12" t="n">
        <v>22.75</v>
      </c>
      <c r="J18" s="12" t="n">
        <v>58</v>
      </c>
      <c r="K18" s="11" t="n">
        <v>70</v>
      </c>
    </row>
    <row r="19">
      <c r="A19" s="13" t="inlineStr">
        <is>
          <t>Beta Solutions</t>
        </is>
      </c>
      <c r="B19" s="13" t="inlineStr">
        <is>
          <t>2024-12-02</t>
        </is>
      </c>
      <c r="C19" s="13" t="inlineStr">
        <is>
          <t>2024-12-06</t>
        </is>
      </c>
      <c r="D19" s="14" t="n">
        <v>1525</v>
      </c>
      <c r="E19" s="14" t="n">
        <v>1173.25</v>
      </c>
      <c r="F19" s="14" t="n">
        <v>183</v>
      </c>
      <c r="G19" s="14" t="n">
        <v>106.75</v>
      </c>
      <c r="H19" s="14" t="n">
        <v>38.13</v>
      </c>
      <c r="I19" s="14" t="n">
        <v>23.88</v>
      </c>
      <c r="J19" s="14" t="n">
        <v>61</v>
      </c>
      <c r="K19" s="13" t="n">
        <v>74.5</v>
      </c>
    </row>
    <row r="20">
      <c r="A20" s="11" t="inlineStr">
        <is>
          <t>Beta Solutions</t>
        </is>
      </c>
      <c r="B20" s="11" t="inlineStr">
        <is>
          <t>2025-01-06</t>
        </is>
      </c>
      <c r="C20" s="11" t="inlineStr">
        <is>
          <t>2025-01-10</t>
        </is>
      </c>
      <c r="D20" s="12" t="n">
        <v>1600</v>
      </c>
      <c r="E20" s="12" t="n">
        <v>1231</v>
      </c>
      <c r="F20" s="12" t="n">
        <v>192</v>
      </c>
      <c r="G20" s="12" t="n">
        <v>112</v>
      </c>
      <c r="H20" s="12" t="n">
        <v>40</v>
      </c>
      <c r="I20" s="12" t="n">
        <v>25</v>
      </c>
      <c r="J20" s="12" t="n">
        <v>64</v>
      </c>
      <c r="K20" s="11" t="n">
        <v>78</v>
      </c>
    </row>
    <row r="21">
      <c r="A21" s="13" t="inlineStr">
        <is>
          <t>Beta Solutions</t>
        </is>
      </c>
      <c r="B21" s="13" t="inlineStr">
        <is>
          <t>2025-03-03</t>
        </is>
      </c>
      <c r="C21" s="13" t="inlineStr">
        <is>
          <t>2025-03-07</t>
        </is>
      </c>
      <c r="D21" s="14" t="n">
        <v>1675</v>
      </c>
      <c r="E21" s="14" t="n">
        <v>1288.75</v>
      </c>
      <c r="F21" s="14" t="n">
        <v>201</v>
      </c>
      <c r="G21" s="14" t="n">
        <v>117.25</v>
      </c>
      <c r="H21" s="14" t="n">
        <v>41.88</v>
      </c>
      <c r="I21" s="14" t="n">
        <v>26.13</v>
      </c>
      <c r="J21" s="14" t="n">
        <v>67</v>
      </c>
      <c r="K21" s="13" t="n">
        <v>81.5</v>
      </c>
    </row>
    <row r="22">
      <c r="A22" s="11" t="inlineStr">
        <is>
          <t>Beta Solutions</t>
        </is>
      </c>
      <c r="B22" s="11" t="inlineStr">
        <is>
          <t>2025-06-02</t>
        </is>
      </c>
      <c r="C22" s="11" t="inlineStr">
        <is>
          <t>2025-06-06</t>
        </is>
      </c>
      <c r="D22" s="12" t="n">
        <v>1750</v>
      </c>
      <c r="E22" s="12" t="n">
        <v>1346.5</v>
      </c>
      <c r="F22" s="12" t="n">
        <v>210</v>
      </c>
      <c r="G22" s="12" t="n">
        <v>122.5</v>
      </c>
      <c r="H22" s="12" t="n">
        <v>43.75</v>
      </c>
      <c r="I22" s="12" t="n">
        <v>27.25</v>
      </c>
      <c r="J22" s="12" t="n">
        <v>70</v>
      </c>
      <c r="K22" s="11" t="n">
        <v>85</v>
      </c>
    </row>
    <row r="23">
      <c r="A23" s="13" t="inlineStr">
        <is>
          <t>Beta Solutions</t>
        </is>
      </c>
      <c r="B23" s="13" t="inlineStr">
        <is>
          <t>2025-09-01</t>
        </is>
      </c>
      <c r="C23" s="13" t="inlineStr">
        <is>
          <t>2025-09-05</t>
        </is>
      </c>
      <c r="D23" s="14" t="n">
        <v>1825</v>
      </c>
      <c r="E23" s="14" t="n">
        <v>1404.25</v>
      </c>
      <c r="F23" s="14" t="n">
        <v>219</v>
      </c>
      <c r="G23" s="14" t="n">
        <v>127.75</v>
      </c>
      <c r="H23" s="14" t="n">
        <v>45.63</v>
      </c>
      <c r="I23" s="14" t="n">
        <v>28.38</v>
      </c>
      <c r="J23" s="14" t="n">
        <v>73</v>
      </c>
      <c r="K23" s="13" t="n">
        <v>89</v>
      </c>
    </row>
    <row r="24">
      <c r="A24" s="11" t="inlineStr">
        <is>
          <t>Beta Solutions</t>
        </is>
      </c>
      <c r="B24" s="11" t="inlineStr">
        <is>
          <t>2025-12-01</t>
        </is>
      </c>
      <c r="C24" s="11" t="inlineStr">
        <is>
          <t>2025-12-05</t>
        </is>
      </c>
      <c r="D24" s="12" t="n">
        <v>1900</v>
      </c>
      <c r="E24" s="12" t="n">
        <v>1462</v>
      </c>
      <c r="F24" s="12" t="n">
        <v>228</v>
      </c>
      <c r="G24" s="12" t="n">
        <v>133</v>
      </c>
      <c r="H24" s="12" t="n">
        <v>47.5</v>
      </c>
      <c r="I24" s="12" t="n">
        <v>29.5</v>
      </c>
      <c r="J24" s="12" t="n">
        <v>76</v>
      </c>
      <c r="K24" s="11" t="n">
        <v>92.5</v>
      </c>
    </row>
    <row r="25">
      <c r="A25" s="13" t="inlineStr">
        <is>
          <t>Beta Solutions</t>
        </is>
      </c>
      <c r="B25" s="13" t="inlineStr">
        <is>
          <t>2026-01-05</t>
        </is>
      </c>
      <c r="C25" s="13" t="inlineStr">
        <is>
          <t>2026-01-09</t>
        </is>
      </c>
      <c r="D25" s="14" t="n">
        <v>1975</v>
      </c>
      <c r="E25" s="14" t="n">
        <v>1519.75</v>
      </c>
      <c r="F25" s="14" t="n">
        <v>237</v>
      </c>
      <c r="G25" s="14" t="n">
        <v>138.25</v>
      </c>
      <c r="H25" s="14" t="n">
        <v>49.38</v>
      </c>
      <c r="I25" s="14" t="n">
        <v>30.63</v>
      </c>
      <c r="J25" s="14" t="n">
        <v>79</v>
      </c>
      <c r="K25" s="13" t="n">
        <v>96</v>
      </c>
    </row>
    <row r="26">
      <c r="A26" s="11" t="inlineStr">
        <is>
          <t>Beta Solutions</t>
        </is>
      </c>
      <c r="B26" s="11" t="inlineStr">
        <is>
          <t>2026-02-02</t>
        </is>
      </c>
      <c r="C26" s="11" t="inlineStr">
        <is>
          <t>2026-02-06</t>
        </is>
      </c>
      <c r="D26" s="12" t="n">
        <v>2050</v>
      </c>
      <c r="E26" s="12" t="n">
        <v>1577.5</v>
      </c>
      <c r="F26" s="12" t="n">
        <v>246</v>
      </c>
      <c r="G26" s="12" t="n">
        <v>143.5</v>
      </c>
      <c r="H26" s="12" t="n">
        <v>51.25</v>
      </c>
      <c r="I26" s="12" t="n">
        <v>31.75</v>
      </c>
      <c r="J26" s="12" t="n">
        <v>82</v>
      </c>
      <c r="K26" s="11" t="n">
        <v>100</v>
      </c>
    </row>
    <row r="27">
      <c r="A27" s="13" t="inlineStr">
        <is>
          <t>Beta Solutions</t>
        </is>
      </c>
      <c r="B27" s="13" t="inlineStr">
        <is>
          <t>2026-03-02</t>
        </is>
      </c>
      <c r="C27" s="13" t="inlineStr">
        <is>
          <t>2026-03-06</t>
        </is>
      </c>
      <c r="D27" s="14" t="n">
        <v>2050</v>
      </c>
      <c r="E27" s="14" t="n">
        <v>1577.5</v>
      </c>
      <c r="F27" s="14" t="n">
        <v>246</v>
      </c>
      <c r="G27" s="14" t="n">
        <v>143.5</v>
      </c>
      <c r="H27" s="14" t="n">
        <v>51.25</v>
      </c>
      <c r="I27" s="14" t="n">
        <v>31.75</v>
      </c>
      <c r="J27" s="14" t="n">
        <v>82</v>
      </c>
      <c r="K27" s="13" t="n">
        <v>100</v>
      </c>
    </row>
    <row r="28">
      <c r="A28" s="11" t="inlineStr">
        <is>
          <t>Beta Solutions</t>
        </is>
      </c>
      <c r="B28" s="11" t="inlineStr">
        <is>
          <t>2026-04-06</t>
        </is>
      </c>
      <c r="C28" s="11" t="inlineStr">
        <is>
          <t>2026-04-10</t>
        </is>
      </c>
      <c r="D28" s="12" t="n">
        <v>2125</v>
      </c>
      <c r="E28" s="12" t="n">
        <v>1635.25</v>
      </c>
      <c r="F28" s="12" t="n">
        <v>255</v>
      </c>
      <c r="G28" s="12" t="n">
        <v>148.75</v>
      </c>
      <c r="H28" s="12" t="n">
        <v>53.13</v>
      </c>
      <c r="I28" s="12" t="n">
        <v>32.88</v>
      </c>
      <c r="J28" s="12" t="n">
        <v>85</v>
      </c>
      <c r="K28" s="11" t="n">
        <v>103.5</v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6" customWidth="1" min="6" max="6"/>
    <col width="12" customWidth="1" min="7" max="7"/>
    <col width="12" customWidth="1" min="8" max="8"/>
  </cols>
  <sheetData>
    <row r="1" ht="30" customHeight="1">
      <c r="A1" s="18" t="inlineStr">
        <is>
          <t>📊  ANNUAL SUMMARY — EARNINGS BY YEAR</t>
        </is>
      </c>
    </row>
    <row r="3">
      <c r="A3" s="10" t="inlineStr">
        <is>
          <t>Year</t>
        </is>
      </c>
      <c r="B3" s="10" t="inlineStr">
        <is>
          <t>Pay Periods</t>
        </is>
      </c>
      <c r="C3" s="10" t="inlineStr">
        <is>
          <t>Gross Pay</t>
        </is>
      </c>
      <c r="D3" s="10" t="inlineStr">
        <is>
          <t>Net Pay</t>
        </is>
      </c>
      <c r="E3" s="10" t="inlineStr">
        <is>
          <t>Federal Tax</t>
        </is>
      </c>
      <c r="F3" s="10" t="inlineStr">
        <is>
          <t>Provincial Tax</t>
        </is>
      </c>
      <c r="G3" s="10" t="inlineStr">
        <is>
          <t>CPP</t>
        </is>
      </c>
      <c r="H3" s="10" t="inlineStr">
        <is>
          <t>EI</t>
        </is>
      </c>
    </row>
    <row r="4">
      <c r="A4" s="19" t="inlineStr">
        <is>
          <t>2022</t>
        </is>
      </c>
      <c r="B4" s="19" t="n">
        <v>6</v>
      </c>
      <c r="C4" s="20" t="n">
        <v>4714.25</v>
      </c>
      <c r="D4" s="20" t="n">
        <v>3653.79</v>
      </c>
      <c r="E4" s="20" t="n">
        <v>553.41</v>
      </c>
      <c r="F4" s="20" t="n">
        <v>323.03</v>
      </c>
      <c r="G4" s="20" t="n">
        <v>112.65</v>
      </c>
      <c r="H4" s="20" t="n">
        <v>69.86</v>
      </c>
    </row>
    <row r="5">
      <c r="A5" s="13" t="inlineStr">
        <is>
          <t>2023</t>
        </is>
      </c>
      <c r="B5" s="13" t="n">
        <v>5</v>
      </c>
      <c r="C5" s="14" t="n">
        <v>4898.75</v>
      </c>
      <c r="D5" s="14" t="n">
        <v>3769.7</v>
      </c>
      <c r="E5" s="14" t="n">
        <v>587.85</v>
      </c>
      <c r="F5" s="14" t="n">
        <v>342.92</v>
      </c>
      <c r="G5" s="14" t="n">
        <v>122.11</v>
      </c>
      <c r="H5" s="14" t="n">
        <v>74.73</v>
      </c>
    </row>
    <row r="6">
      <c r="A6" s="19" t="inlineStr">
        <is>
          <t>2024</t>
        </is>
      </c>
      <c r="B6" s="19" t="n">
        <v>5</v>
      </c>
      <c r="C6" s="20" t="n">
        <v>6650</v>
      </c>
      <c r="D6" s="20" t="n">
        <v>5115.45</v>
      </c>
      <c r="E6" s="20" t="n">
        <v>798</v>
      </c>
      <c r="F6" s="20" t="n">
        <v>465.5</v>
      </c>
      <c r="G6" s="20" t="n">
        <v>166.26</v>
      </c>
      <c r="H6" s="20" t="n">
        <v>104.81</v>
      </c>
    </row>
    <row r="7">
      <c r="A7" s="13" t="inlineStr">
        <is>
          <t>2025</t>
        </is>
      </c>
      <c r="B7" s="13" t="n">
        <v>5</v>
      </c>
      <c r="C7" s="14" t="n">
        <v>8750</v>
      </c>
      <c r="D7" s="14" t="n">
        <v>6732.5</v>
      </c>
      <c r="E7" s="14" t="n">
        <v>1050</v>
      </c>
      <c r="F7" s="14" t="n">
        <v>612.5</v>
      </c>
      <c r="G7" s="14" t="n">
        <v>218.76</v>
      </c>
      <c r="H7" s="14" t="n">
        <v>136.26</v>
      </c>
    </row>
    <row r="8">
      <c r="A8" s="19" t="inlineStr">
        <is>
          <t>2026</t>
        </is>
      </c>
      <c r="B8" s="19" t="n">
        <v>4</v>
      </c>
      <c r="C8" s="20" t="n">
        <v>8200</v>
      </c>
      <c r="D8" s="20" t="n">
        <v>6310</v>
      </c>
      <c r="E8" s="20" t="n">
        <v>984</v>
      </c>
      <c r="F8" s="20" t="n">
        <v>574</v>
      </c>
      <c r="G8" s="20" t="n">
        <v>205.01</v>
      </c>
      <c r="H8" s="20" t="n">
        <v>127.01</v>
      </c>
    </row>
    <row r="9">
      <c r="A9" s="15" t="inlineStr">
        <is>
          <t>TOTAL</t>
        </is>
      </c>
      <c r="B9" s="15">
        <f>SUM(B4:B8)</f>
        <v/>
      </c>
      <c r="C9" s="16">
        <f>SUM(C4:C8)</f>
        <v/>
      </c>
      <c r="D9" s="16">
        <f>SUM(D4:D8)</f>
        <v/>
      </c>
      <c r="E9" s="16">
        <f>SUM(E4:E8)</f>
        <v/>
      </c>
      <c r="F9" s="16">
        <f>SUM(F4:F8)</f>
        <v/>
      </c>
      <c r="G9" s="16">
        <f>SUM(G4:G8)</f>
        <v/>
      </c>
      <c r="H9" s="16">
        <f>SUM(H4:H8)</f>
        <v/>
      </c>
    </row>
  </sheetData>
  <mergeCells count="1"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3" customWidth="1" min="3" max="3"/>
    <col width="14" customWidth="1" min="4" max="4"/>
    <col width="14" customWidth="1" min="5" max="5"/>
    <col width="14" customWidth="1" min="6" max="6"/>
    <col width="12" customWidth="1" min="7" max="7"/>
  </cols>
  <sheetData>
    <row r="1" ht="30" customHeight="1">
      <c r="A1" s="18" t="inlineStr">
        <is>
          <t>📅  MONTHLY SUMMARY — EARNINGS OVER TIME</t>
        </is>
      </c>
    </row>
    <row r="3">
      <c r="A3" s="10" t="inlineStr">
        <is>
          <t>Year</t>
        </is>
      </c>
      <c r="B3" s="10" t="inlineStr">
        <is>
          <t>Month</t>
        </is>
      </c>
      <c r="C3" s="10" t="inlineStr">
        <is>
          <t>Pay Periods</t>
        </is>
      </c>
      <c r="D3" s="10" t="inlineStr">
        <is>
          <t>Gross Pay</t>
        </is>
      </c>
      <c r="E3" s="10" t="inlineStr">
        <is>
          <t>Net Pay</t>
        </is>
      </c>
      <c r="F3" s="10" t="inlineStr">
        <is>
          <t>Total Tax</t>
        </is>
      </c>
      <c r="G3" s="10" t="inlineStr">
        <is>
          <t>Net Rate %</t>
        </is>
      </c>
    </row>
    <row r="4">
      <c r="A4" s="11" t="inlineStr">
        <is>
          <t>2022</t>
        </is>
      </c>
      <c r="B4" s="11" t="inlineStr">
        <is>
          <t>Oct</t>
        </is>
      </c>
      <c r="C4" s="11" t="n">
        <v>5</v>
      </c>
      <c r="D4" s="12" t="n">
        <v>4304.25</v>
      </c>
      <c r="E4" s="12" t="n">
        <v>3313.11</v>
      </c>
      <c r="F4" s="12" t="n">
        <v>817.8099999999999</v>
      </c>
      <c r="G4" s="21" t="n">
        <v>77</v>
      </c>
    </row>
    <row r="5">
      <c r="A5" s="13" t="inlineStr">
        <is>
          <t>2022</t>
        </is>
      </c>
      <c r="B5" s="13" t="inlineStr">
        <is>
          <t>Nov</t>
        </is>
      </c>
      <c r="C5" s="13" t="n">
        <v>1</v>
      </c>
      <c r="D5" s="14" t="n">
        <v>410</v>
      </c>
      <c r="E5" s="14" t="n">
        <v>340.68</v>
      </c>
      <c r="F5" s="14" t="n">
        <v>58.63</v>
      </c>
      <c r="G5" s="22" t="n">
        <v>83.09999999999999</v>
      </c>
    </row>
    <row r="6">
      <c r="A6" s="11" t="inlineStr">
        <is>
          <t>2023</t>
        </is>
      </c>
      <c r="B6" s="11" t="inlineStr">
        <is>
          <t>Jan</t>
        </is>
      </c>
      <c r="C6" s="11" t="n">
        <v>1</v>
      </c>
      <c r="D6" s="12" t="n">
        <v>880</v>
      </c>
      <c r="E6" s="12" t="n">
        <v>677.4</v>
      </c>
      <c r="F6" s="12" t="n">
        <v>167.2</v>
      </c>
      <c r="G6" s="21" t="n">
        <v>77</v>
      </c>
    </row>
    <row r="7">
      <c r="A7" s="13" t="inlineStr">
        <is>
          <t>2023</t>
        </is>
      </c>
      <c r="B7" s="13" t="inlineStr">
        <is>
          <t>Mar</t>
        </is>
      </c>
      <c r="C7" s="13" t="n">
        <v>1</v>
      </c>
      <c r="D7" s="14" t="n">
        <v>962.5</v>
      </c>
      <c r="E7" s="14" t="n">
        <v>740.63</v>
      </c>
      <c r="F7" s="14" t="n">
        <v>182.88</v>
      </c>
      <c r="G7" s="22" t="n">
        <v>76.90000000000001</v>
      </c>
    </row>
    <row r="8">
      <c r="A8" s="11" t="inlineStr">
        <is>
          <t>2023</t>
        </is>
      </c>
      <c r="B8" s="11" t="inlineStr">
        <is>
          <t>Jun</t>
        </is>
      </c>
      <c r="C8" s="11" t="n">
        <v>1</v>
      </c>
      <c r="D8" s="12" t="n">
        <v>1025</v>
      </c>
      <c r="E8" s="12" t="n">
        <v>788.73</v>
      </c>
      <c r="F8" s="12" t="n">
        <v>194.75</v>
      </c>
      <c r="G8" s="21" t="n">
        <v>76.90000000000001</v>
      </c>
    </row>
    <row r="9">
      <c r="A9" s="13" t="inlineStr">
        <is>
          <t>2023</t>
        </is>
      </c>
      <c r="B9" s="13" t="inlineStr">
        <is>
          <t>Sep</t>
        </is>
      </c>
      <c r="C9" s="13" t="n">
        <v>1</v>
      </c>
      <c r="D9" s="14" t="n">
        <v>1087.5</v>
      </c>
      <c r="E9" s="14" t="n">
        <v>836.6900000000001</v>
      </c>
      <c r="F9" s="14" t="n">
        <v>206.63</v>
      </c>
      <c r="G9" s="22" t="n">
        <v>76.90000000000001</v>
      </c>
    </row>
    <row r="10">
      <c r="A10" s="11" t="inlineStr">
        <is>
          <t>2023</t>
        </is>
      </c>
      <c r="B10" s="11" t="inlineStr">
        <is>
          <t>Dec</t>
        </is>
      </c>
      <c r="C10" s="11" t="n">
        <v>1</v>
      </c>
      <c r="D10" s="12" t="n">
        <v>943.75</v>
      </c>
      <c r="E10" s="12" t="n">
        <v>726.25</v>
      </c>
      <c r="F10" s="12" t="n">
        <v>179.31</v>
      </c>
      <c r="G10" s="21" t="n">
        <v>77</v>
      </c>
    </row>
    <row r="11">
      <c r="A11" s="13" t="inlineStr">
        <is>
          <t>2024</t>
        </is>
      </c>
      <c r="B11" s="13" t="inlineStr">
        <is>
          <t>Jan</t>
        </is>
      </c>
      <c r="C11" s="13" t="n">
        <v>1</v>
      </c>
      <c r="D11" s="14" t="n">
        <v>1150</v>
      </c>
      <c r="E11" s="14" t="n">
        <v>884.45</v>
      </c>
      <c r="F11" s="14" t="n">
        <v>218.5</v>
      </c>
      <c r="G11" s="22" t="n">
        <v>76.90000000000001</v>
      </c>
    </row>
    <row r="12">
      <c r="A12" s="11" t="inlineStr">
        <is>
          <t>2024</t>
        </is>
      </c>
      <c r="B12" s="11" t="inlineStr">
        <is>
          <t>Mar</t>
        </is>
      </c>
      <c r="C12" s="11" t="n">
        <v>1</v>
      </c>
      <c r="D12" s="12" t="n">
        <v>1225</v>
      </c>
      <c r="E12" s="12" t="n">
        <v>942.25</v>
      </c>
      <c r="F12" s="12" t="n">
        <v>232.75</v>
      </c>
      <c r="G12" s="21" t="n">
        <v>76.90000000000001</v>
      </c>
    </row>
    <row r="13">
      <c r="A13" s="13" t="inlineStr">
        <is>
          <t>2024</t>
        </is>
      </c>
      <c r="B13" s="13" t="inlineStr">
        <is>
          <t>Jun</t>
        </is>
      </c>
      <c r="C13" s="13" t="n">
        <v>1</v>
      </c>
      <c r="D13" s="14" t="n">
        <v>1300</v>
      </c>
      <c r="E13" s="14" t="n">
        <v>1000</v>
      </c>
      <c r="F13" s="14" t="n">
        <v>247</v>
      </c>
      <c r="G13" s="22" t="n">
        <v>76.90000000000001</v>
      </c>
    </row>
    <row r="14">
      <c r="A14" s="11" t="inlineStr">
        <is>
          <t>2024</t>
        </is>
      </c>
      <c r="B14" s="11" t="inlineStr">
        <is>
          <t>Sep</t>
        </is>
      </c>
      <c r="C14" s="11" t="n">
        <v>1</v>
      </c>
      <c r="D14" s="12" t="n">
        <v>1450</v>
      </c>
      <c r="E14" s="12" t="n">
        <v>1115.5</v>
      </c>
      <c r="F14" s="12" t="n">
        <v>275.5</v>
      </c>
      <c r="G14" s="21" t="n">
        <v>76.90000000000001</v>
      </c>
    </row>
    <row r="15">
      <c r="A15" s="13" t="inlineStr">
        <is>
          <t>2024</t>
        </is>
      </c>
      <c r="B15" s="13" t="inlineStr">
        <is>
          <t>Dec</t>
        </is>
      </c>
      <c r="C15" s="13" t="n">
        <v>1</v>
      </c>
      <c r="D15" s="14" t="n">
        <v>1525</v>
      </c>
      <c r="E15" s="14" t="n">
        <v>1173.25</v>
      </c>
      <c r="F15" s="14" t="n">
        <v>289.75</v>
      </c>
      <c r="G15" s="22" t="n">
        <v>76.90000000000001</v>
      </c>
    </row>
    <row r="16">
      <c r="A16" s="11" t="inlineStr">
        <is>
          <t>2025</t>
        </is>
      </c>
      <c r="B16" s="11" t="inlineStr">
        <is>
          <t>Jan</t>
        </is>
      </c>
      <c r="C16" s="11" t="n">
        <v>1</v>
      </c>
      <c r="D16" s="12" t="n">
        <v>1600</v>
      </c>
      <c r="E16" s="12" t="n">
        <v>1231</v>
      </c>
      <c r="F16" s="12" t="n">
        <v>304</v>
      </c>
      <c r="G16" s="21" t="n">
        <v>76.90000000000001</v>
      </c>
    </row>
    <row r="17">
      <c r="A17" s="13" t="inlineStr">
        <is>
          <t>2025</t>
        </is>
      </c>
      <c r="B17" s="13" t="inlineStr">
        <is>
          <t>Mar</t>
        </is>
      </c>
      <c r="C17" s="13" t="n">
        <v>1</v>
      </c>
      <c r="D17" s="14" t="n">
        <v>1675</v>
      </c>
      <c r="E17" s="14" t="n">
        <v>1288.75</v>
      </c>
      <c r="F17" s="14" t="n">
        <v>318.25</v>
      </c>
      <c r="G17" s="22" t="n">
        <v>76.90000000000001</v>
      </c>
    </row>
    <row r="18">
      <c r="A18" s="11" t="inlineStr">
        <is>
          <t>2025</t>
        </is>
      </c>
      <c r="B18" s="11" t="inlineStr">
        <is>
          <t>Jun</t>
        </is>
      </c>
      <c r="C18" s="11" t="n">
        <v>1</v>
      </c>
      <c r="D18" s="12" t="n">
        <v>1750</v>
      </c>
      <c r="E18" s="12" t="n">
        <v>1346.5</v>
      </c>
      <c r="F18" s="12" t="n">
        <v>332.5</v>
      </c>
      <c r="G18" s="21" t="n">
        <v>76.90000000000001</v>
      </c>
    </row>
    <row r="19">
      <c r="A19" s="13" t="inlineStr">
        <is>
          <t>2025</t>
        </is>
      </c>
      <c r="B19" s="13" t="inlineStr">
        <is>
          <t>Sep</t>
        </is>
      </c>
      <c r="C19" s="13" t="n">
        <v>1</v>
      </c>
      <c r="D19" s="14" t="n">
        <v>1825</v>
      </c>
      <c r="E19" s="14" t="n">
        <v>1404.25</v>
      </c>
      <c r="F19" s="14" t="n">
        <v>346.75</v>
      </c>
      <c r="G19" s="22" t="n">
        <v>76.90000000000001</v>
      </c>
    </row>
    <row r="20">
      <c r="A20" s="11" t="inlineStr">
        <is>
          <t>2025</t>
        </is>
      </c>
      <c r="B20" s="11" t="inlineStr">
        <is>
          <t>Dec</t>
        </is>
      </c>
      <c r="C20" s="11" t="n">
        <v>1</v>
      </c>
      <c r="D20" s="12" t="n">
        <v>1900</v>
      </c>
      <c r="E20" s="12" t="n">
        <v>1462</v>
      </c>
      <c r="F20" s="12" t="n">
        <v>361</v>
      </c>
      <c r="G20" s="21" t="n">
        <v>76.90000000000001</v>
      </c>
    </row>
    <row r="21">
      <c r="A21" s="13" t="inlineStr">
        <is>
          <t>2026</t>
        </is>
      </c>
      <c r="B21" s="13" t="inlineStr">
        <is>
          <t>Jan</t>
        </is>
      </c>
      <c r="C21" s="13" t="n">
        <v>1</v>
      </c>
      <c r="D21" s="14" t="n">
        <v>1975</v>
      </c>
      <c r="E21" s="14" t="n">
        <v>1519.75</v>
      </c>
      <c r="F21" s="14" t="n">
        <v>375.25</v>
      </c>
      <c r="G21" s="22" t="n">
        <v>76.90000000000001</v>
      </c>
    </row>
    <row r="22">
      <c r="A22" s="11" t="inlineStr">
        <is>
          <t>2026</t>
        </is>
      </c>
      <c r="B22" s="11" t="inlineStr">
        <is>
          <t>Feb</t>
        </is>
      </c>
      <c r="C22" s="11" t="n">
        <v>1</v>
      </c>
      <c r="D22" s="12" t="n">
        <v>2050</v>
      </c>
      <c r="E22" s="12" t="n">
        <v>1577.5</v>
      </c>
      <c r="F22" s="12" t="n">
        <v>389.5</v>
      </c>
      <c r="G22" s="21" t="n">
        <v>77</v>
      </c>
    </row>
    <row r="23">
      <c r="A23" s="13" t="inlineStr">
        <is>
          <t>2026</t>
        </is>
      </c>
      <c r="B23" s="13" t="inlineStr">
        <is>
          <t>Mar</t>
        </is>
      </c>
      <c r="C23" s="13" t="n">
        <v>1</v>
      </c>
      <c r="D23" s="14" t="n">
        <v>2050</v>
      </c>
      <c r="E23" s="14" t="n">
        <v>1577.5</v>
      </c>
      <c r="F23" s="14" t="n">
        <v>389.5</v>
      </c>
      <c r="G23" s="22" t="n">
        <v>77</v>
      </c>
    </row>
    <row r="24">
      <c r="A24" s="11" t="inlineStr">
        <is>
          <t>2026</t>
        </is>
      </c>
      <c r="B24" s="11" t="inlineStr">
        <is>
          <t>Apr</t>
        </is>
      </c>
      <c r="C24" s="11" t="n">
        <v>1</v>
      </c>
      <c r="D24" s="12" t="n">
        <v>2125</v>
      </c>
      <c r="E24" s="12" t="n">
        <v>1635.25</v>
      </c>
      <c r="F24" s="12" t="n">
        <v>403.75</v>
      </c>
      <c r="G24" s="21" t="n">
        <v>77</v>
      </c>
    </row>
  </sheetData>
  <mergeCells count="1"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38" customWidth="1" min="1" max="1"/>
    <col width="13" customWidth="1" min="2" max="2"/>
    <col width="14" customWidth="1" min="3" max="3"/>
    <col width="14" customWidth="1" min="4" max="4"/>
    <col width="18" customWidth="1" min="5" max="5"/>
    <col width="16" customWidth="1" min="6" max="6"/>
    <col width="13" customWidth="1" min="7" max="7"/>
  </cols>
  <sheetData>
    <row r="1" ht="30" customHeight="1">
      <c r="A1" s="18" t="inlineStr">
        <is>
          <t>🏢  EARNINGS BY COMPANY</t>
        </is>
      </c>
    </row>
    <row r="3">
      <c r="A3" s="10" t="inlineStr">
        <is>
          <t>Company</t>
        </is>
      </c>
      <c r="B3" s="10" t="inlineStr">
        <is>
          <t>Pay Periods</t>
        </is>
      </c>
      <c r="C3" s="10" t="inlineStr">
        <is>
          <t>Gross Pay</t>
        </is>
      </c>
      <c r="D3" s="10" t="inlineStr">
        <is>
          <t>Net Pay</t>
        </is>
      </c>
      <c r="E3" s="10" t="inlineStr">
        <is>
          <t>Avg Gross/Period</t>
        </is>
      </c>
      <c r="F3" s="10" t="inlineStr">
        <is>
          <t>Avg Net/Period</t>
        </is>
      </c>
      <c r="G3" s="10" t="inlineStr">
        <is>
          <t>Avg Hours</t>
        </is>
      </c>
    </row>
    <row r="4">
      <c r="A4" s="19" t="inlineStr">
        <is>
          <t>Acme Corp</t>
        </is>
      </c>
      <c r="B4" s="19" t="n">
        <v>14</v>
      </c>
      <c r="C4" s="20" t="n">
        <v>13288</v>
      </c>
      <c r="D4" s="20" t="n">
        <v>10250.19</v>
      </c>
      <c r="E4" s="20" t="n">
        <v>949.14</v>
      </c>
      <c r="F4" s="20" t="n">
        <v>732.16</v>
      </c>
      <c r="G4" s="19" t="n">
        <v>46.3</v>
      </c>
    </row>
    <row r="5">
      <c r="A5" s="13" t="inlineStr">
        <is>
          <t>Beta Solutions</t>
        </is>
      </c>
      <c r="B5" s="13" t="n">
        <v>11</v>
      </c>
      <c r="C5" s="14" t="n">
        <v>19925</v>
      </c>
      <c r="D5" s="14" t="n">
        <v>15331.25</v>
      </c>
      <c r="E5" s="14" t="n">
        <v>1811.36</v>
      </c>
      <c r="F5" s="14" t="n">
        <v>1393.75</v>
      </c>
      <c r="G5" s="13" t="n">
        <v>88.2</v>
      </c>
    </row>
  </sheetData>
  <mergeCells count="1">
    <mergeCell ref="A1:G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36" customWidth="1" min="2" max="2"/>
    <col width="14" customWidth="1" min="3" max="3"/>
    <col width="14" customWidth="1" min="4" max="4"/>
    <col width="16" customWidth="1" min="5" max="5"/>
    <col width="10" customWidth="1" min="6" max="6"/>
    <col width="10" customWidth="1" min="7" max="7"/>
  </cols>
  <sheetData>
    <row r="1" ht="30" customHeight="1">
      <c r="A1" s="18" t="inlineStr">
        <is>
          <t>💰  DEDUCTIONS BREAKDOWN</t>
        </is>
      </c>
    </row>
    <row r="3">
      <c r="A3" s="10" t="inlineStr">
        <is>
          <t>Pay Period End</t>
        </is>
      </c>
      <c r="B3" s="10" t="inlineStr">
        <is>
          <t>Company</t>
        </is>
      </c>
      <c r="C3" s="10" t="inlineStr">
        <is>
          <t>Gross Pay</t>
        </is>
      </c>
      <c r="D3" s="10" t="inlineStr">
        <is>
          <t>Federal Tax</t>
        </is>
      </c>
      <c r="E3" s="10" t="inlineStr">
        <is>
          <t>Provincial Tax</t>
        </is>
      </c>
      <c r="F3" s="10" t="inlineStr">
        <is>
          <t>CPP</t>
        </is>
      </c>
      <c r="G3" s="10" t="inlineStr">
        <is>
          <t>EI</t>
        </is>
      </c>
    </row>
    <row r="4">
      <c r="A4" s="11" t="inlineStr">
        <is>
          <t>2022-10-07</t>
        </is>
      </c>
      <c r="B4" s="11" t="inlineStr">
        <is>
          <t>Acme Corp</t>
        </is>
      </c>
      <c r="C4" s="12" t="n">
        <v>820</v>
      </c>
      <c r="D4" s="12" t="n">
        <v>98.40000000000001</v>
      </c>
      <c r="E4" s="12" t="n">
        <v>57.4</v>
      </c>
      <c r="F4" s="12" t="n">
        <v>20.17</v>
      </c>
      <c r="G4" s="12" t="n">
        <v>12.53</v>
      </c>
    </row>
    <row r="5">
      <c r="A5" s="13" t="inlineStr">
        <is>
          <t>2022-10-14</t>
        </is>
      </c>
      <c r="B5" s="13" t="inlineStr">
        <is>
          <t>Acme Corp</t>
        </is>
      </c>
      <c r="C5" s="14" t="n">
        <v>902.5</v>
      </c>
      <c r="D5" s="14" t="n">
        <v>108.3</v>
      </c>
      <c r="E5" s="14" t="n">
        <v>63.18</v>
      </c>
      <c r="F5" s="14" t="n">
        <v>22.21</v>
      </c>
      <c r="G5" s="14" t="n">
        <v>13.81</v>
      </c>
    </row>
    <row r="6">
      <c r="A6" s="11" t="inlineStr">
        <is>
          <t>2022-10-21</t>
        </is>
      </c>
      <c r="B6" s="11" t="inlineStr">
        <is>
          <t>Acme Corp</t>
        </is>
      </c>
      <c r="C6" s="12" t="n">
        <v>778</v>
      </c>
      <c r="D6" s="12" t="n">
        <v>93.36</v>
      </c>
      <c r="E6" s="12" t="n">
        <v>54.46</v>
      </c>
      <c r="F6" s="12" t="n">
        <v>19.14</v>
      </c>
      <c r="G6" s="12" t="n">
        <v>11.88</v>
      </c>
    </row>
    <row r="7">
      <c r="A7" s="13" t="inlineStr">
        <is>
          <t>2022-10-28</t>
        </is>
      </c>
      <c r="B7" s="13" t="inlineStr">
        <is>
          <t>Acme Corp</t>
        </is>
      </c>
      <c r="C7" s="14" t="n">
        <v>943.75</v>
      </c>
      <c r="D7" s="14" t="n">
        <v>113.25</v>
      </c>
      <c r="E7" s="14" t="n">
        <v>66.06</v>
      </c>
      <c r="F7" s="14" t="n">
        <v>23.23</v>
      </c>
      <c r="G7" s="14" t="n">
        <v>14.45</v>
      </c>
    </row>
    <row r="8">
      <c r="A8" s="11" t="inlineStr">
        <is>
          <t>2022-11-04</t>
        </is>
      </c>
      <c r="B8" s="11" t="inlineStr">
        <is>
          <t>Acme Corp</t>
        </is>
      </c>
      <c r="C8" s="12" t="n">
        <v>860</v>
      </c>
      <c r="D8" s="12" t="n">
        <v>103.2</v>
      </c>
      <c r="E8" s="12" t="n">
        <v>60.2</v>
      </c>
      <c r="F8" s="12" t="n">
        <v>21.16</v>
      </c>
      <c r="G8" s="12" t="n">
        <v>13.14</v>
      </c>
    </row>
    <row r="9">
      <c r="A9" s="13" t="inlineStr">
        <is>
          <t>2022-11-11</t>
        </is>
      </c>
      <c r="B9" s="13" t="inlineStr">
        <is>
          <t>Acme Corp</t>
        </is>
      </c>
      <c r="C9" s="14" t="n">
        <v>410</v>
      </c>
      <c r="D9" s="14" t="n">
        <v>36.9</v>
      </c>
      <c r="E9" s="14" t="n">
        <v>21.73</v>
      </c>
      <c r="F9" s="14" t="n">
        <v>6.74</v>
      </c>
      <c r="G9" s="14" t="n">
        <v>4.05</v>
      </c>
    </row>
    <row r="10">
      <c r="A10" s="11" t="inlineStr">
        <is>
          <t>2023-01-06</t>
        </is>
      </c>
      <c r="B10" s="11" t="inlineStr">
        <is>
          <t>Acme Corp</t>
        </is>
      </c>
      <c r="C10" s="12" t="n">
        <v>880</v>
      </c>
      <c r="D10" s="12" t="n">
        <v>105.6</v>
      </c>
      <c r="E10" s="12" t="n">
        <v>61.6</v>
      </c>
      <c r="F10" s="12" t="n">
        <v>22</v>
      </c>
      <c r="G10" s="12" t="n">
        <v>13.4</v>
      </c>
    </row>
    <row r="11">
      <c r="A11" s="13" t="inlineStr">
        <is>
          <t>2023-03-10</t>
        </is>
      </c>
      <c r="B11" s="13" t="inlineStr">
        <is>
          <t>Acme Corp</t>
        </is>
      </c>
      <c r="C11" s="14" t="n">
        <v>962.5</v>
      </c>
      <c r="D11" s="14" t="n">
        <v>115.5</v>
      </c>
      <c r="E11" s="14" t="n">
        <v>67.38</v>
      </c>
      <c r="F11" s="14" t="n">
        <v>24.06</v>
      </c>
      <c r="G11" s="14" t="n">
        <v>14.73</v>
      </c>
    </row>
    <row r="12">
      <c r="A12" s="11" t="inlineStr">
        <is>
          <t>2023-06-09</t>
        </is>
      </c>
      <c r="B12" s="11" t="inlineStr">
        <is>
          <t>Acme Corp</t>
        </is>
      </c>
      <c r="C12" s="12" t="n">
        <v>1025</v>
      </c>
      <c r="D12" s="12" t="n">
        <v>123</v>
      </c>
      <c r="E12" s="12" t="n">
        <v>71.75</v>
      </c>
      <c r="F12" s="12" t="n">
        <v>25.63</v>
      </c>
      <c r="G12" s="12" t="n">
        <v>15.65</v>
      </c>
    </row>
    <row r="13">
      <c r="A13" s="13" t="inlineStr">
        <is>
          <t>2023-09-08</t>
        </is>
      </c>
      <c r="B13" s="13" t="inlineStr">
        <is>
          <t>Acme Corp</t>
        </is>
      </c>
      <c r="C13" s="14" t="n">
        <v>1087.5</v>
      </c>
      <c r="D13" s="14" t="n">
        <v>130.5</v>
      </c>
      <c r="E13" s="14" t="n">
        <v>76.13</v>
      </c>
      <c r="F13" s="14" t="n">
        <v>27.19</v>
      </c>
      <c r="G13" s="14" t="n">
        <v>16.5</v>
      </c>
    </row>
    <row r="14">
      <c r="A14" s="11" t="inlineStr">
        <is>
          <t>2023-12-08</t>
        </is>
      </c>
      <c r="B14" s="11" t="inlineStr">
        <is>
          <t>Acme Corp</t>
        </is>
      </c>
      <c r="C14" s="12" t="n">
        <v>943.75</v>
      </c>
      <c r="D14" s="12" t="n">
        <v>113.25</v>
      </c>
      <c r="E14" s="12" t="n">
        <v>66.06</v>
      </c>
      <c r="F14" s="12" t="n">
        <v>23.23</v>
      </c>
      <c r="G14" s="12" t="n">
        <v>14.45</v>
      </c>
    </row>
    <row r="15">
      <c r="A15" s="13" t="inlineStr">
        <is>
          <t>2024-01-12</t>
        </is>
      </c>
      <c r="B15" s="13" t="inlineStr">
        <is>
          <t>Acme Corp</t>
        </is>
      </c>
      <c r="C15" s="14" t="n">
        <v>1150</v>
      </c>
      <c r="D15" s="14" t="n">
        <v>138</v>
      </c>
      <c r="E15" s="14" t="n">
        <v>80.5</v>
      </c>
      <c r="F15" s="14" t="n">
        <v>28.75</v>
      </c>
      <c r="G15" s="14" t="n">
        <v>18.3</v>
      </c>
    </row>
    <row r="16">
      <c r="A16" s="11" t="inlineStr">
        <is>
          <t>2024-03-08</t>
        </is>
      </c>
      <c r="B16" s="11" t="inlineStr">
        <is>
          <t>Acme Corp</t>
        </is>
      </c>
      <c r="C16" s="12" t="n">
        <v>1225</v>
      </c>
      <c r="D16" s="12" t="n">
        <v>147</v>
      </c>
      <c r="E16" s="12" t="n">
        <v>85.75</v>
      </c>
      <c r="F16" s="12" t="n">
        <v>30.63</v>
      </c>
      <c r="G16" s="12" t="n">
        <v>19.38</v>
      </c>
    </row>
    <row r="17">
      <c r="A17" s="13" t="inlineStr">
        <is>
          <t>2024-06-07</t>
        </is>
      </c>
      <c r="B17" s="13" t="inlineStr">
        <is>
          <t>Acme Corp</t>
        </is>
      </c>
      <c r="C17" s="14" t="n">
        <v>1300</v>
      </c>
      <c r="D17" s="14" t="n">
        <v>156</v>
      </c>
      <c r="E17" s="14" t="n">
        <v>91</v>
      </c>
      <c r="F17" s="14" t="n">
        <v>32.5</v>
      </c>
      <c r="G17" s="14" t="n">
        <v>20.5</v>
      </c>
    </row>
    <row r="18">
      <c r="A18" s="11" t="inlineStr">
        <is>
          <t>2024-09-06</t>
        </is>
      </c>
      <c r="B18" s="11" t="inlineStr">
        <is>
          <t>Beta Solutions</t>
        </is>
      </c>
      <c r="C18" s="12" t="n">
        <v>1450</v>
      </c>
      <c r="D18" s="12" t="n">
        <v>174</v>
      </c>
      <c r="E18" s="12" t="n">
        <v>101.5</v>
      </c>
      <c r="F18" s="12" t="n">
        <v>36.25</v>
      </c>
      <c r="G18" s="12" t="n">
        <v>22.75</v>
      </c>
    </row>
    <row r="19">
      <c r="A19" s="13" t="inlineStr">
        <is>
          <t>2024-12-06</t>
        </is>
      </c>
      <c r="B19" s="13" t="inlineStr">
        <is>
          <t>Beta Solutions</t>
        </is>
      </c>
      <c r="C19" s="14" t="n">
        <v>1525</v>
      </c>
      <c r="D19" s="14" t="n">
        <v>183</v>
      </c>
      <c r="E19" s="14" t="n">
        <v>106.75</v>
      </c>
      <c r="F19" s="14" t="n">
        <v>38.13</v>
      </c>
      <c r="G19" s="14" t="n">
        <v>23.88</v>
      </c>
    </row>
    <row r="20">
      <c r="A20" s="11" t="inlineStr">
        <is>
          <t>2025-01-10</t>
        </is>
      </c>
      <c r="B20" s="11" t="inlineStr">
        <is>
          <t>Beta Solutions</t>
        </is>
      </c>
      <c r="C20" s="12" t="n">
        <v>1600</v>
      </c>
      <c r="D20" s="12" t="n">
        <v>192</v>
      </c>
      <c r="E20" s="12" t="n">
        <v>112</v>
      </c>
      <c r="F20" s="12" t="n">
        <v>40</v>
      </c>
      <c r="G20" s="12" t="n">
        <v>25</v>
      </c>
    </row>
    <row r="21">
      <c r="A21" s="13" t="inlineStr">
        <is>
          <t>2025-03-07</t>
        </is>
      </c>
      <c r="B21" s="13" t="inlineStr">
        <is>
          <t>Beta Solutions</t>
        </is>
      </c>
      <c r="C21" s="14" t="n">
        <v>1675</v>
      </c>
      <c r="D21" s="14" t="n">
        <v>201</v>
      </c>
      <c r="E21" s="14" t="n">
        <v>117.25</v>
      </c>
      <c r="F21" s="14" t="n">
        <v>41.88</v>
      </c>
      <c r="G21" s="14" t="n">
        <v>26.13</v>
      </c>
    </row>
    <row r="22">
      <c r="A22" s="11" t="inlineStr">
        <is>
          <t>2025-06-06</t>
        </is>
      </c>
      <c r="B22" s="11" t="inlineStr">
        <is>
          <t>Beta Solutions</t>
        </is>
      </c>
      <c r="C22" s="12" t="n">
        <v>1750</v>
      </c>
      <c r="D22" s="12" t="n">
        <v>210</v>
      </c>
      <c r="E22" s="12" t="n">
        <v>122.5</v>
      </c>
      <c r="F22" s="12" t="n">
        <v>43.75</v>
      </c>
      <c r="G22" s="12" t="n">
        <v>27.25</v>
      </c>
    </row>
    <row r="23">
      <c r="A23" s="13" t="inlineStr">
        <is>
          <t>2025-09-05</t>
        </is>
      </c>
      <c r="B23" s="13" t="inlineStr">
        <is>
          <t>Beta Solutions</t>
        </is>
      </c>
      <c r="C23" s="14" t="n">
        <v>1825</v>
      </c>
      <c r="D23" s="14" t="n">
        <v>219</v>
      </c>
      <c r="E23" s="14" t="n">
        <v>127.75</v>
      </c>
      <c r="F23" s="14" t="n">
        <v>45.63</v>
      </c>
      <c r="G23" s="14" t="n">
        <v>28.38</v>
      </c>
    </row>
    <row r="24">
      <c r="A24" s="11" t="inlineStr">
        <is>
          <t>2025-12-05</t>
        </is>
      </c>
      <c r="B24" s="11" t="inlineStr">
        <is>
          <t>Beta Solutions</t>
        </is>
      </c>
      <c r="C24" s="12" t="n">
        <v>1900</v>
      </c>
      <c r="D24" s="12" t="n">
        <v>228</v>
      </c>
      <c r="E24" s="12" t="n">
        <v>133</v>
      </c>
      <c r="F24" s="12" t="n">
        <v>47.5</v>
      </c>
      <c r="G24" s="12" t="n">
        <v>29.5</v>
      </c>
    </row>
    <row r="25">
      <c r="A25" s="13" t="inlineStr">
        <is>
          <t>2026-01-09</t>
        </is>
      </c>
      <c r="B25" s="13" t="inlineStr">
        <is>
          <t>Beta Solutions</t>
        </is>
      </c>
      <c r="C25" s="14" t="n">
        <v>1975</v>
      </c>
      <c r="D25" s="14" t="n">
        <v>237</v>
      </c>
      <c r="E25" s="14" t="n">
        <v>138.25</v>
      </c>
      <c r="F25" s="14" t="n">
        <v>49.38</v>
      </c>
      <c r="G25" s="14" t="n">
        <v>30.63</v>
      </c>
    </row>
    <row r="26">
      <c r="A26" s="11" t="inlineStr">
        <is>
          <t>2026-02-06</t>
        </is>
      </c>
      <c r="B26" s="11" t="inlineStr">
        <is>
          <t>Beta Solutions</t>
        </is>
      </c>
      <c r="C26" s="12" t="n">
        <v>2050</v>
      </c>
      <c r="D26" s="12" t="n">
        <v>246</v>
      </c>
      <c r="E26" s="12" t="n">
        <v>143.5</v>
      </c>
      <c r="F26" s="12" t="n">
        <v>51.25</v>
      </c>
      <c r="G26" s="12" t="n">
        <v>31.75</v>
      </c>
    </row>
    <row r="27">
      <c r="A27" s="13" t="inlineStr">
        <is>
          <t>2026-03-06</t>
        </is>
      </c>
      <c r="B27" s="13" t="inlineStr">
        <is>
          <t>Beta Solutions</t>
        </is>
      </c>
      <c r="C27" s="14" t="n">
        <v>2050</v>
      </c>
      <c r="D27" s="14" t="n">
        <v>246</v>
      </c>
      <c r="E27" s="14" t="n">
        <v>143.5</v>
      </c>
      <c r="F27" s="14" t="n">
        <v>51.25</v>
      </c>
      <c r="G27" s="14" t="n">
        <v>31.75</v>
      </c>
    </row>
    <row r="28">
      <c r="A28" s="11" t="inlineStr">
        <is>
          <t>2026-04-10</t>
        </is>
      </c>
      <c r="B28" s="11" t="inlineStr">
        <is>
          <t>Beta Solutions</t>
        </is>
      </c>
      <c r="C28" s="12" t="n">
        <v>2125</v>
      </c>
      <c r="D28" s="12" t="n">
        <v>255</v>
      </c>
      <c r="E28" s="12" t="n">
        <v>148.75</v>
      </c>
      <c r="F28" s="12" t="n">
        <v>53.13</v>
      </c>
      <c r="G28" s="12" t="n">
        <v>32.88</v>
      </c>
    </row>
    <row r="29">
      <c r="A29" s="15" t="inlineStr">
        <is>
          <t>TOTAL</t>
        </is>
      </c>
      <c r="B29" s="17" t="inlineStr"/>
      <c r="C29" s="16">
        <f>SUM(C4:C28)</f>
        <v/>
      </c>
      <c r="D29" s="16">
        <f>SUM(D4:D28)</f>
        <v/>
      </c>
      <c r="E29" s="16">
        <f>SUM(E4:E28)</f>
        <v/>
      </c>
      <c r="F29" s="16">
        <f>SUM(F4:F28)</f>
        <v/>
      </c>
      <c r="G29" s="16">
        <f>SUM(G4:G28)</f>
        <v/>
      </c>
    </row>
  </sheetData>
  <mergeCells count="1">
    <mergeCell ref="A1:G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16" customWidth="1" min="1" max="1"/>
    <col width="30" customWidth="1" min="2" max="2"/>
    <col width="50" customWidth="1" min="3" max="3"/>
    <col width="22" customWidth="1" min="4" max="4"/>
  </cols>
  <sheetData>
    <row r="1" ht="30" customHeight="1">
      <c r="A1" s="18" t="inlineStr">
        <is>
          <t>📖  GLOSSARY — CANADIAN PAYSTUB TERMS</t>
        </is>
      </c>
    </row>
    <row r="3">
      <c r="A3" s="10" t="inlineStr">
        <is>
          <t>Term</t>
        </is>
      </c>
      <c r="B3" s="10" t="inlineStr">
        <is>
          <t>Full Name</t>
        </is>
      </c>
      <c r="C3" s="10" t="inlineStr">
        <is>
          <t>Description</t>
        </is>
      </c>
      <c r="D3" s="10" t="inlineStr">
        <is>
          <t>Who Pays</t>
        </is>
      </c>
    </row>
    <row r="4">
      <c r="A4" s="23" t="inlineStr">
        <is>
          <t>Gross Pay</t>
        </is>
      </c>
      <c r="B4" s="24" t="inlineStr">
        <is>
          <t>Gross Earnings</t>
        </is>
      </c>
      <c r="C4" s="24" t="inlineStr">
        <is>
          <t>Total earnings before any deductions</t>
        </is>
      </c>
      <c r="D4" s="24" t="inlineStr">
        <is>
          <t>N/A</t>
        </is>
      </c>
    </row>
    <row r="5">
      <c r="A5" s="25" t="inlineStr">
        <is>
          <t>Net Pay</t>
        </is>
      </c>
      <c r="B5" s="26" t="inlineStr">
        <is>
          <t>Net Earnings / Take-Home Pay</t>
        </is>
      </c>
      <c r="C5" s="26" t="inlineStr">
        <is>
          <t>Amount received after all deductions</t>
        </is>
      </c>
      <c r="D5" s="26" t="inlineStr">
        <is>
          <t>N/A</t>
        </is>
      </c>
    </row>
    <row r="6">
      <c r="A6" s="23" t="inlineStr">
        <is>
          <t>Federal Tax</t>
        </is>
      </c>
      <c r="B6" s="24" t="inlineStr">
        <is>
          <t>Federal Income Tax</t>
        </is>
      </c>
      <c r="C6" s="24" t="inlineStr">
        <is>
          <t>Tax paid to the Government of Canada</t>
        </is>
      </c>
      <c r="D6" s="24" t="inlineStr">
        <is>
          <t>Employee</t>
        </is>
      </c>
    </row>
    <row r="7">
      <c r="A7" s="25" t="inlineStr">
        <is>
          <t>Provincial</t>
        </is>
      </c>
      <c r="B7" s="26" t="inlineStr">
        <is>
          <t>Provincial Income Tax</t>
        </is>
      </c>
      <c r="C7" s="26" t="inlineStr">
        <is>
          <t>Tax paid to the provincial government</t>
        </is>
      </c>
      <c r="D7" s="26" t="inlineStr">
        <is>
          <t>Employee</t>
        </is>
      </c>
    </row>
    <row r="8">
      <c r="A8" s="23" t="inlineStr">
        <is>
          <t>CPP</t>
        </is>
      </c>
      <c r="B8" s="24" t="inlineStr">
        <is>
          <t>Canada Pension Plan</t>
        </is>
      </c>
      <c r="C8" s="24" t="inlineStr">
        <is>
          <t>Retirement savings contribution</t>
        </is>
      </c>
      <c r="D8" s="24" t="inlineStr">
        <is>
          <t>Employee &amp; Employer</t>
        </is>
      </c>
    </row>
    <row r="9">
      <c r="A9" s="25" t="inlineStr">
        <is>
          <t>EI</t>
        </is>
      </c>
      <c r="B9" s="26" t="inlineStr">
        <is>
          <t>Employment Insurance</t>
        </is>
      </c>
      <c r="C9" s="26" t="inlineStr">
        <is>
          <t>Insurance for job loss or leave</t>
        </is>
      </c>
      <c r="D9" s="26" t="inlineStr">
        <is>
          <t>Employee &amp; Employer</t>
        </is>
      </c>
    </row>
    <row r="10">
      <c r="A10" s="23" t="inlineStr">
        <is>
          <t>Vacation Pay</t>
        </is>
      </c>
      <c r="B10" s="24" t="inlineStr">
        <is>
          <t>Vacation Pay Accrual</t>
        </is>
      </c>
      <c r="C10" s="24" t="inlineStr">
        <is>
          <t>Usually 4% of gross, paid out or accrued</t>
        </is>
      </c>
      <c r="D10" s="24" t="inlineStr">
        <is>
          <t>Employer</t>
        </is>
      </c>
    </row>
    <row r="11">
      <c r="A11" s="25" t="inlineStr">
        <is>
          <t>Hours Worked</t>
        </is>
      </c>
      <c r="B11" s="26" t="inlineStr">
        <is>
          <t>Regular Hours</t>
        </is>
      </c>
      <c r="C11" s="26" t="inlineStr">
        <is>
          <t>Total hours worked in the pay period</t>
        </is>
      </c>
      <c r="D11" s="26" t="inlineStr">
        <is>
          <t>N/A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2026-04-25T17:42:52Z</dcterms:created>
  <dcterms:modified xsi:type="dcterms:W3CDTF">2026-04-25T17:42:52Z</dcterms:modified>
</cp:coreProperties>
</file>